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YEAR 2026\JAN_AUG_EVEN_SEM_2026\TIME TABLE 2026 EVEN SEM\"/>
    </mc:Choice>
  </mc:AlternateContent>
  <xr:revisionPtr revIDLastSave="0" documentId="13_ncr:1_{3E20D642-EFFD-487D-89A7-26CD85EF472A}" xr6:coauthVersionLast="47" xr6:coauthVersionMax="47" xr10:uidLastSave="{00000000-0000-0000-0000-000000000000}"/>
  <bookViews>
    <workbookView xWindow="-108" yWindow="-108" windowWidth="23256" windowHeight="13896" tabRatio="901" activeTab="3" xr2:uid="{50D51E0C-E746-424B-8DE2-2A66D9DD93CC}"/>
  </bookViews>
  <sheets>
    <sheet name="Subject_List" sheetId="16" r:id="rId1"/>
    <sheet name="Subject_Opt" sheetId="18" state="hidden" r:id="rId2"/>
    <sheet name="Subject_List_OPTBY" sheetId="3" state="hidden" r:id="rId3"/>
    <sheet name="Course_wise" sheetId="22" r:id="rId4"/>
    <sheet name="Subject_Selection (2)" sheetId="13" state="hidden" r:id="rId5"/>
  </sheets>
  <definedNames>
    <definedName name="_xlnm._FilterDatabase" localSheetId="2" hidden="1">Subject_List_OPTBY!$E$1:$E$73</definedName>
    <definedName name="_xlnm.Print_Titles" localSheetId="0">Subject_List!$1:$1</definedName>
    <definedName name="_xlnm.Print_Titles" localSheetId="2">Subject_List_OPTBY!$1:$1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16" l="1"/>
  <c r="C43" i="16"/>
  <c r="C28" i="16"/>
  <c r="C15" i="16"/>
  <c r="C67" i="3"/>
  <c r="C38" i="3"/>
  <c r="C25" i="3"/>
  <c r="C13" i="3"/>
  <c r="C51" i="3"/>
</calcChain>
</file>

<file path=xl/sharedStrings.xml><?xml version="1.0" encoding="utf-8"?>
<sst xmlns="http://schemas.openxmlformats.org/spreadsheetml/2006/main" count="996" uniqueCount="406">
  <si>
    <t>SUBJECT LIST OF EVEN SEMESTER 2026</t>
  </si>
  <si>
    <t>BCA - II SEM</t>
  </si>
  <si>
    <t>Code</t>
  </si>
  <si>
    <t>Subject</t>
  </si>
  <si>
    <t>Credit</t>
  </si>
  <si>
    <t>Dept/Mode</t>
  </si>
  <si>
    <t xml:space="preserve">MA104A1 </t>
  </si>
  <si>
    <t xml:space="preserve">MATHEMATICS – II </t>
  </si>
  <si>
    <t xml:space="preserve">Math </t>
  </si>
  <si>
    <t xml:space="preserve">CA105A1 </t>
  </si>
  <si>
    <t xml:space="preserve">DATABASE MANAGEMENT SYSTEM </t>
  </si>
  <si>
    <t xml:space="preserve">CA106A9 </t>
  </si>
  <si>
    <t xml:space="preserve">WEB DEVELOPMENT USING PHP </t>
  </si>
  <si>
    <t xml:space="preserve">CA107A3 </t>
  </si>
  <si>
    <t xml:space="preserve">UNIVERSAL HUMAN VALUES </t>
  </si>
  <si>
    <t>Online</t>
  </si>
  <si>
    <t xml:space="preserve">CA***A2/ CA***A8 </t>
  </si>
  <si>
    <t xml:space="preserve">OPEN ELECTIVE II/MINOR/NCC </t>
  </si>
  <si>
    <t xml:space="preserve">CA152A2 / CA152A8 </t>
  </si>
  <si>
    <t>STATISTICAL FOUNDATIONS OF DATA SCIENCE (MINOR OF DS)</t>
  </si>
  <si>
    <t xml:space="preserve">CA158A2 / CA158A8 </t>
  </si>
  <si>
    <t>FUNDAMENTALS OF SOFT COMPUTING  (MINOR OF AI)</t>
  </si>
  <si>
    <t xml:space="preserve">CA111A3 </t>
  </si>
  <si>
    <t xml:space="preserve">FUNDAMENTALS OF ENVIRONMENTAL STUDIES </t>
  </si>
  <si>
    <t xml:space="preserve">CA108A4 </t>
  </si>
  <si>
    <t>DATABASE MANAGEMENT SYSTEM LAB</t>
  </si>
  <si>
    <t xml:space="preserve">CA109A4 </t>
  </si>
  <si>
    <t xml:space="preserve">PHP LAB </t>
  </si>
  <si>
    <t>CA10413A</t>
  </si>
  <si>
    <t xml:space="preserve">CA110A5 </t>
  </si>
  <si>
    <t xml:space="preserve">PROJECT BASED LEARNING LAB </t>
  </si>
  <si>
    <t>TOTAL</t>
  </si>
  <si>
    <t>BCA IV SEM</t>
  </si>
  <si>
    <t xml:space="preserve">CA206A1 </t>
  </si>
  <si>
    <t>DESIGN &amp; ANALYSIS OF ALGORITHMS (DAA)</t>
  </si>
  <si>
    <t xml:space="preserve">CA207A1 </t>
  </si>
  <si>
    <t xml:space="preserve">JAVA PROGRAMMING </t>
  </si>
  <si>
    <t xml:space="preserve">CA208A3 </t>
  </si>
  <si>
    <t>RECENT TRENDS IN COMPUTER APPLICATIONS</t>
  </si>
  <si>
    <t xml:space="preserve">CA209A1 </t>
  </si>
  <si>
    <t xml:space="preserve">DATA COMMUNICATION &amp; NETWORKING </t>
  </si>
  <si>
    <t xml:space="preserve">OPEN ELECTIVE IV/MINOR </t>
  </si>
  <si>
    <t xml:space="preserve">CA252A2 / CA252A8 </t>
  </si>
  <si>
    <t>DATA ANALYTICS USING PYTHON (MINOR OF DS)</t>
  </si>
  <si>
    <t xml:space="preserve">CA258A2 / CA258A8 </t>
  </si>
  <si>
    <t>COMPUTER VISION (MINOR OF AI SPL)</t>
  </si>
  <si>
    <t xml:space="preserve">CA210A4 </t>
  </si>
  <si>
    <t xml:space="preserve">DAA LAB </t>
  </si>
  <si>
    <t xml:space="preserve">CA211A4 </t>
  </si>
  <si>
    <t>JAVA PROGRAMMING LAB</t>
  </si>
  <si>
    <t>BCA VI SEM</t>
  </si>
  <si>
    <t>CA10118A</t>
  </si>
  <si>
    <t>SOFTWARE ENGINEERING</t>
  </si>
  <si>
    <t>CA10119A</t>
  </si>
  <si>
    <t>PYTHON PROGRAMMING</t>
  </si>
  <si>
    <t>CA103**</t>
  </si>
  <si>
    <t>ELECTIVE – III</t>
  </si>
  <si>
    <t>CA10308A</t>
  </si>
  <si>
    <t xml:space="preserve">DATA ANALYTICS USING PYTHON </t>
  </si>
  <si>
    <t>CA10311A</t>
  </si>
  <si>
    <t xml:space="preserve">CLOUD COMPUTING AND SECURITY </t>
  </si>
  <si>
    <t>ELECTIVE – IV</t>
  </si>
  <si>
    <t>CA10310A</t>
  </si>
  <si>
    <t>MACHINE LEARNING</t>
  </si>
  <si>
    <t>CA10312A</t>
  </si>
  <si>
    <t xml:space="preserve">BIG DATA AND ITS APPLICATIONS IN CLOUD </t>
  </si>
  <si>
    <t>CA10412A</t>
  </si>
  <si>
    <t>SOFTWARE ENGINEERING LAB</t>
  </si>
  <si>
    <t>PYTHON PROGRAMMING LAB</t>
  </si>
  <si>
    <t>CA10502A</t>
  </si>
  <si>
    <t>MINOR PROJECT</t>
  </si>
  <si>
    <t>MCA II SEM</t>
  </si>
  <si>
    <t xml:space="preserve">MA502A1 </t>
  </si>
  <si>
    <t xml:space="preserve">QUANTITATIVE ANALYSIS FOR COMPUTER APPLICATIONS </t>
  </si>
  <si>
    <t>Math</t>
  </si>
  <si>
    <t xml:space="preserve">CA509A1 </t>
  </si>
  <si>
    <t xml:space="preserve">UNIX/LINUX INTERNAL </t>
  </si>
  <si>
    <t xml:space="preserve">CA510A1 </t>
  </si>
  <si>
    <t xml:space="preserve">.NET FRAMEWORK </t>
  </si>
  <si>
    <t xml:space="preserve">CA511A1 </t>
  </si>
  <si>
    <t xml:space="preserve">COMPUTER NETWORK </t>
  </si>
  <si>
    <t xml:space="preserve">CA***A3 </t>
  </si>
  <si>
    <t xml:space="preserve">ELECTIVE –I </t>
  </si>
  <si>
    <t xml:space="preserve">CA559A3 </t>
  </si>
  <si>
    <t xml:space="preserve">PYTHON PROGRAMMING </t>
  </si>
  <si>
    <t xml:space="preserve">ELECTIVE- II </t>
  </si>
  <si>
    <t xml:space="preserve">CA561A3 </t>
  </si>
  <si>
    <t xml:space="preserve">DATA SCIENCE </t>
  </si>
  <si>
    <t xml:space="preserve">CA563A3 </t>
  </si>
  <si>
    <t xml:space="preserve">PRINCIPLES OF CYBER SECURITY </t>
  </si>
  <si>
    <t xml:space="preserve">CA512A4 </t>
  </si>
  <si>
    <t xml:space="preserve">UNIX/LINUX INTERNAL LAB </t>
  </si>
  <si>
    <t xml:space="preserve">CA513A4 </t>
  </si>
  <si>
    <t xml:space="preserve">COMPUTER NETWORK LAB </t>
  </si>
  <si>
    <t xml:space="preserve">CA514A4 </t>
  </si>
  <si>
    <t xml:space="preserve">.NET LAB </t>
  </si>
  <si>
    <t xml:space="preserve">DEPARTMENT OF COMPUTER APPLICATIONS 
</t>
  </si>
  <si>
    <t xml:space="preserve">Respected Teacher, please opt your subjects theory and lab for upcoming even semester 2026. </t>
  </si>
  <si>
    <t>Name</t>
  </si>
  <si>
    <t>Theory 1</t>
  </si>
  <si>
    <t>Theory 2</t>
  </si>
  <si>
    <t>Theory 3</t>
  </si>
  <si>
    <t>Lab 1</t>
  </si>
  <si>
    <t>Lab 2</t>
  </si>
  <si>
    <t>Lab 3</t>
  </si>
  <si>
    <t>Lab 4</t>
  </si>
  <si>
    <t>CR</t>
  </si>
  <si>
    <t>HRS</t>
  </si>
  <si>
    <t>Dr. Samarjeet Borah</t>
  </si>
  <si>
    <t>CA206A1</t>
  </si>
  <si>
    <t>Dr. Krishna vijay Kr. Singh</t>
  </si>
  <si>
    <t>Mrs. Kapila Sharma</t>
  </si>
  <si>
    <t>Mr. Bishal Pradhan</t>
  </si>
  <si>
    <t>CA563A3 / CA562A3</t>
  </si>
  <si>
    <t>CA109A3</t>
  </si>
  <si>
    <t>CA211A4</t>
  </si>
  <si>
    <t>Mrs. Moumita Pramanik</t>
  </si>
  <si>
    <t>Mr. Dipendra Gurung</t>
  </si>
  <si>
    <t>CA209A1</t>
  </si>
  <si>
    <t>Mr.Gaurav Pradhan</t>
  </si>
  <si>
    <t>CA158A2 / CA158A8 [Soft Computing]</t>
  </si>
  <si>
    <t>CA559A3</t>
  </si>
  <si>
    <t>CA109A4</t>
  </si>
  <si>
    <t>Mr.Vivek Thapa</t>
  </si>
  <si>
    <t>CA207A1</t>
  </si>
  <si>
    <t>CA152A2</t>
  </si>
  <si>
    <t>CA109A5</t>
  </si>
  <si>
    <t>Dr.Sumon Dey</t>
  </si>
  <si>
    <t>Mr.Simanta Kalita</t>
  </si>
  <si>
    <t xml:space="preserve">SUBJECT LIST OF ODD SEMESTER 2025 </t>
  </si>
  <si>
    <t>BCA - I SEM</t>
  </si>
  <si>
    <t>OPT BY</t>
  </si>
  <si>
    <t>ALLOTED</t>
  </si>
  <si>
    <t>MATHEMATICS – I</t>
  </si>
  <si>
    <t>MATH</t>
  </si>
  <si>
    <t>CA101A1</t>
  </si>
  <si>
    <t>HTML AND SCRIPTING FOR WEB PAGE DESIGN</t>
  </si>
  <si>
    <t>T2</t>
  </si>
  <si>
    <t>CA102A1</t>
  </si>
  <si>
    <t>C PROGRAMMING</t>
  </si>
  <si>
    <t>DG</t>
  </si>
  <si>
    <t>FUNDAMENTALS OF BUSINESS MANAGEMENT</t>
  </si>
  <si>
    <t>MGT</t>
  </si>
  <si>
    <t>Management</t>
  </si>
  <si>
    <t>CA***A2/ CA***A8</t>
  </si>
  <si>
    <t>OPEN ELECTIVE I/MINOR/NCC</t>
  </si>
  <si>
    <t>CA151A2 / CA151A8</t>
  </si>
  <si>
    <t xml:space="preserve">FUNDAMENTALS OF DATA SCIENCE (MINOR) </t>
  </si>
  <si>
    <t>T3</t>
  </si>
  <si>
    <t>Spl - DATA SCIENCE</t>
  </si>
  <si>
    <t>CA157A2 / CA157A8</t>
  </si>
  <si>
    <t>FUNDAMENTALS OF ARTIFICIAL INTELLIGENCE (MINOR)</t>
  </si>
  <si>
    <t>GP</t>
  </si>
  <si>
    <t>T1</t>
  </si>
  <si>
    <t xml:space="preserve">Spl - AI </t>
  </si>
  <si>
    <t>CA103A4</t>
  </si>
  <si>
    <t>HTML AND SCRIPTING FOR WEB PAGE DESIGN LAB</t>
  </si>
  <si>
    <t>CA104A4</t>
  </si>
  <si>
    <t>C PROGRAMMING LAB</t>
  </si>
  <si>
    <t>BCA - III SEM</t>
  </si>
  <si>
    <t>MATHEMATICS III</t>
  </si>
  <si>
    <t>CA201A1</t>
  </si>
  <si>
    <t>FUNDAMENTALS OF DATA STRUCTURES</t>
  </si>
  <si>
    <t>BP</t>
  </si>
  <si>
    <t>CA202A1</t>
  </si>
  <si>
    <t>OBJECT ORIENTED PROGRAMMING USING C++</t>
  </si>
  <si>
    <t>CA203A3</t>
  </si>
  <si>
    <t>COMMUNICATION SKILL</t>
  </si>
  <si>
    <t>OPEN ELECTIVE III/MINOR/NCC</t>
  </si>
  <si>
    <t>CA251A2 / CA251A8</t>
  </si>
  <si>
    <t xml:space="preserve">DATA WAREHOUSING AND DATA MINING (MINOR) </t>
  </si>
  <si>
    <t>MP</t>
  </si>
  <si>
    <t>CA257A2 / CA257A8</t>
  </si>
  <si>
    <t xml:space="preserve">MACHINE LEARNING (MINOR) </t>
  </si>
  <si>
    <t>DG/SV/GP</t>
  </si>
  <si>
    <t>CA204A4</t>
  </si>
  <si>
    <t>DATA STRUCTURES LAB</t>
  </si>
  <si>
    <t>CA205A5</t>
  </si>
  <si>
    <t>C++ LAB</t>
  </si>
  <si>
    <t>BCA V SEM</t>
  </si>
  <si>
    <t>CA1115A</t>
  </si>
  <si>
    <t>OPERATING SYSTEMS</t>
  </si>
  <si>
    <t>KS / SV</t>
  </si>
  <si>
    <t>KS</t>
  </si>
  <si>
    <t>CA1116A</t>
  </si>
  <si>
    <t>IT LAW AND PRACTICES</t>
  </si>
  <si>
    <t>AB</t>
  </si>
  <si>
    <t>MR. ABHINANDAN BARUAH</t>
  </si>
  <si>
    <t>CA1117A</t>
  </si>
  <si>
    <t>.NET PROGRAMMING</t>
  </si>
  <si>
    <t>RP</t>
  </si>
  <si>
    <t>CA13**</t>
  </si>
  <si>
    <t>ELECTIVE-I</t>
  </si>
  <si>
    <t>CA1302A</t>
  </si>
  <si>
    <t>ARTIFICIAL INTELLIGENCE</t>
  </si>
  <si>
    <t>ELECTIVE-II</t>
  </si>
  <si>
    <t>CA1305A</t>
  </si>
  <si>
    <t xml:space="preserve">FUNDAMENTALS OF DATA SCIENCE </t>
  </si>
  <si>
    <t>CA1306A</t>
  </si>
  <si>
    <t>FUNDAMENTALS OF CLOUD COMPUTING</t>
  </si>
  <si>
    <t>BP/SV</t>
  </si>
  <si>
    <t>SV</t>
  </si>
  <si>
    <t>CA1410A</t>
  </si>
  <si>
    <t>OPERATING SYSTEMS LAB</t>
  </si>
  <si>
    <t>CA1411A</t>
  </si>
  <si>
    <t>.NET LAB</t>
  </si>
  <si>
    <t>MCA - I SEM</t>
  </si>
  <si>
    <t>MA505A1</t>
  </si>
  <si>
    <t>MATHEMATICAL FOUNDATIONS FOR COMPUTING</t>
  </si>
  <si>
    <t>CA501A1</t>
  </si>
  <si>
    <t>LATEST TRENDS IN COMPUTER APPLICATION</t>
  </si>
  <si>
    <t>CA502A1</t>
  </si>
  <si>
    <t>DATABASE MANAGEMENT SYSTEM</t>
  </si>
  <si>
    <t>CA503A1</t>
  </si>
  <si>
    <t>KVS</t>
  </si>
  <si>
    <t>CA504A1</t>
  </si>
  <si>
    <t>JAVA PROGRAMMING</t>
  </si>
  <si>
    <t>BA000A1</t>
  </si>
  <si>
    <t>ACCOUNTING AND MANAGERIAL ECONOMICS</t>
  </si>
  <si>
    <t>CA505A4</t>
  </si>
  <si>
    <t>CA506A4</t>
  </si>
  <si>
    <t>CA507A4</t>
  </si>
  <si>
    <t>MCA - III SEM</t>
  </si>
  <si>
    <t>MA506A1</t>
  </si>
  <si>
    <t>QUANTITATIVE ANALYSIS FOR COMPUTER APPLICATIONS</t>
  </si>
  <si>
    <t>CA601A1</t>
  </si>
  <si>
    <t>DESIGN &amp; ANALYSIS OF ALGORITHMS</t>
  </si>
  <si>
    <t>SB / KS</t>
  </si>
  <si>
    <t>SB</t>
  </si>
  <si>
    <t>CA602A1</t>
  </si>
  <si>
    <t>SOFTWARE ENGINEERING AND UNIFIED MODELLING LANGUAGE</t>
  </si>
  <si>
    <t>CA***A3</t>
  </si>
  <si>
    <t>ELECTIVE-III</t>
  </si>
  <si>
    <t>CA652A3</t>
  </si>
  <si>
    <t>DATA WAREHOUSING AND DATA MINING </t>
  </si>
  <si>
    <t>CA671A3</t>
  </si>
  <si>
    <t>CRYPTOGRAPHY</t>
  </si>
  <si>
    <t>KVS / BP</t>
  </si>
  <si>
    <t>ELECTIVE-IV</t>
  </si>
  <si>
    <t>CA654A3</t>
  </si>
  <si>
    <t>MACHINE LEARNING </t>
  </si>
  <si>
    <t>CA673A3</t>
  </si>
  <si>
    <t>NETWORK AND INFORMATION SECURITY </t>
  </si>
  <si>
    <t>KVS / DG</t>
  </si>
  <si>
    <t>CA603A4</t>
  </si>
  <si>
    <t>SOFTWARE ENGINEERING AND UML LAB</t>
  </si>
  <si>
    <t>CA604A4</t>
  </si>
  <si>
    <t>DESIGN &amp; ANALYSIS OF ALGORITHMS LAB</t>
  </si>
  <si>
    <t>CA605A5</t>
  </si>
  <si>
    <t>CA606A9</t>
  </si>
  <si>
    <t>INDUSTRIAL TRAINING / COURSEWORK</t>
  </si>
  <si>
    <t>Total</t>
  </si>
  <si>
    <t>MANAGEMENT DEPT'S SUBJECT:</t>
  </si>
  <si>
    <t>CA2181A</t>
  </si>
  <si>
    <t>Computer Applications in Management</t>
  </si>
  <si>
    <t>ZM</t>
  </si>
  <si>
    <t>MR. ZEESHAN MUSTAFA</t>
  </si>
  <si>
    <t>BA101A4</t>
  </si>
  <si>
    <t>MS Application for Business (Lab)</t>
  </si>
  <si>
    <t>CA1181A</t>
  </si>
  <si>
    <t>E- Commerce</t>
  </si>
  <si>
    <t>* Teachers are requested to choose the subjects for upcoming Odd Semester 2025.</t>
  </si>
  <si>
    <t>SUBJECT CHOICE</t>
  </si>
  <si>
    <t>CA511A1</t>
  </si>
  <si>
    <t>CA1112A</t>
  </si>
  <si>
    <t>CA513A4</t>
  </si>
  <si>
    <t>Dr. Ranjit Panigrahi</t>
  </si>
  <si>
    <t>CA510A1</t>
  </si>
  <si>
    <t>CA1309A</t>
  </si>
  <si>
    <t>CA514A4</t>
  </si>
  <si>
    <t>CA105A1</t>
  </si>
  <si>
    <t>CA1118A</t>
  </si>
  <si>
    <t>CA1110A</t>
  </si>
  <si>
    <t>CA108A4</t>
  </si>
  <si>
    <t>CA1412A</t>
  </si>
  <si>
    <t>CA563A3</t>
  </si>
  <si>
    <t>CA1111A</t>
  </si>
  <si>
    <t>CA1312A</t>
  </si>
  <si>
    <t>CA1409A</t>
  </si>
  <si>
    <t>CA508A1</t>
  </si>
  <si>
    <t>CA561A3</t>
  </si>
  <si>
    <t>CA1114A</t>
  </si>
  <si>
    <t>CA1308A</t>
  </si>
  <si>
    <t>CA1413A</t>
  </si>
  <si>
    <t>Dr.S. Visalakshi</t>
  </si>
  <si>
    <t>CA1311A</t>
  </si>
  <si>
    <t>Ms. Parimala Tamang</t>
  </si>
  <si>
    <t>CA1119A</t>
  </si>
  <si>
    <t>Mr. Gaurav Pradhan</t>
  </si>
  <si>
    <t>CA106A9</t>
  </si>
  <si>
    <t>CA110A5</t>
  </si>
  <si>
    <t>Final Subject Allocation</t>
  </si>
  <si>
    <t>date: 28/12/24</t>
  </si>
  <si>
    <t>CA1408A (G-I)</t>
  </si>
  <si>
    <t>CA1408A (G-II)</t>
  </si>
  <si>
    <t>CA110A5 (G-II)</t>
  </si>
  <si>
    <t>CA509A1</t>
  </si>
  <si>
    <t>CA512A4</t>
  </si>
  <si>
    <t>CA1409A(G-II)</t>
  </si>
  <si>
    <t>CA109A4(G-I)</t>
  </si>
  <si>
    <t>CA109A4(G-II)</t>
  </si>
  <si>
    <t>CA1412A(G-I)</t>
  </si>
  <si>
    <t>CA1412A(G-II)</t>
  </si>
  <si>
    <t>CA108A4 (G-I)</t>
  </si>
  <si>
    <t>CA1408A(G-II)</t>
  </si>
  <si>
    <t>CA110A5(G-I)</t>
  </si>
  <si>
    <t>CA108A4 (G-II)</t>
  </si>
  <si>
    <t>CA1413A(G-I)</t>
  </si>
  <si>
    <t>CA1413A(G-II)</t>
  </si>
  <si>
    <t>CA110A5(G-II)</t>
  </si>
  <si>
    <t>CA1409A(G-I)</t>
  </si>
  <si>
    <t>CA107A3</t>
  </si>
  <si>
    <t>CA158A2</t>
  </si>
  <si>
    <t>CA109A4 (G-I)</t>
  </si>
  <si>
    <t>CA109A4 (GII)</t>
  </si>
  <si>
    <t>CA108A4(G-II)</t>
  </si>
  <si>
    <t>SB / SD</t>
  </si>
  <si>
    <t>VT</t>
  </si>
  <si>
    <t>SD</t>
  </si>
  <si>
    <t>SIMANTA</t>
  </si>
  <si>
    <t>GP / VT</t>
  </si>
  <si>
    <t>PT</t>
  </si>
  <si>
    <t>Previous</t>
  </si>
  <si>
    <t>CA10310A - ML</t>
  </si>
  <si>
    <t>DAY</t>
  </si>
  <si>
    <t>LUNCH</t>
  </si>
  <si>
    <t>MONDAY</t>
  </si>
  <si>
    <t>TUESDAY</t>
  </si>
  <si>
    <t>WEDNESDAY</t>
  </si>
  <si>
    <t>THURSDAY</t>
  </si>
  <si>
    <t>FRIDAY</t>
  </si>
  <si>
    <t>SATURDAY</t>
  </si>
  <si>
    <t>BCA II SEM (SEC -A)</t>
  </si>
  <si>
    <t>Dr.Samarjeet Borah</t>
  </si>
  <si>
    <t>Mr.Bishal Pradhan</t>
  </si>
  <si>
    <t>Dr.Moumita Pramanik</t>
  </si>
  <si>
    <t>CA152A2 (SAT)/ 
CA158A2 (SC)</t>
  </si>
  <si>
    <t>BCA II SEM (SEC -B)</t>
  </si>
  <si>
    <t>CA107A3 (UHV)</t>
  </si>
  <si>
    <t>PBL</t>
  </si>
  <si>
    <t>UNIVERSAL HUMAN VALUES (ONLINE)</t>
  </si>
  <si>
    <t>FUNDAMENTALS OF ENVIRONMENTAL STUDIES (ONLINE)</t>
  </si>
  <si>
    <t>Math Teacher</t>
  </si>
  <si>
    <t xml:space="preserve">Mrs.Kapila Sharma </t>
  </si>
  <si>
    <t>Room - A310</t>
  </si>
  <si>
    <t xml:space="preserve">BCA IV SEM </t>
  </si>
  <si>
    <t>CA210A4 DAA LAB (Gr-I)</t>
  </si>
  <si>
    <t>CA210A4 DAA LAB (Gr-II)</t>
  </si>
  <si>
    <t>CA211A4 - Java Lab (Gr-I)</t>
  </si>
  <si>
    <t>CA211A4 - Java Lab (Gr-II)</t>
  </si>
  <si>
    <t>CA252A2</t>
  </si>
  <si>
    <t>CA258A2</t>
  </si>
  <si>
    <t>CA10412A SE Lab (Gr-I)</t>
  </si>
  <si>
    <t>CA10412A SE Lab (Gr-II)</t>
  </si>
  <si>
    <t>CA10413A Python Lab (Gr-I)</t>
  </si>
  <si>
    <t>CA10413A Python Lab (Gr-II)</t>
  </si>
  <si>
    <t xml:space="preserve">BCA VI SEM </t>
  </si>
  <si>
    <t>CA10308A (DAP)/
CA10311A (CCS) [A207]</t>
  </si>
  <si>
    <t>CA10310A (ML)
CA10312A (BD) [A207]</t>
  </si>
  <si>
    <t>CA10310A (ML)</t>
  </si>
  <si>
    <t>CA512A4 Unix Lab</t>
  </si>
  <si>
    <t>CA513A4 CN Lab</t>
  </si>
  <si>
    <t>CA514A4 .Net Lab</t>
  </si>
  <si>
    <t>DEPARTMENT OF COMPUTER APPLICATIONS</t>
  </si>
  <si>
    <t>Mr.Dipendra Gurung</t>
  </si>
  <si>
    <t>Mrs.Kapila Sharma</t>
  </si>
  <si>
    <t>Mr.Simnata Kalita</t>
  </si>
  <si>
    <t>Dr.Krishna Vijay Singh</t>
  </si>
  <si>
    <t>Mr.Vivek Thapa / Mrs.Kapila S. / Mr.Dipendra Gurung</t>
  </si>
  <si>
    <t>Dr.Samarjeet Borah / Dr.Krishna Vijay Singh</t>
  </si>
  <si>
    <t xml:space="preserve">DATABASE MANAGEMENT SYSTEM LAB </t>
  </si>
  <si>
    <t>Dr.Krishna Vijay Singh / Mr.Bishal Pradhan</t>
  </si>
  <si>
    <t>Dr.Krishna Vijay Singh / Mr.Dipendra Gurung</t>
  </si>
  <si>
    <t>Mr.Vivek Thapa / Dr.Dipendra Gurung</t>
  </si>
  <si>
    <t>09:00-10:00 A.M.</t>
  </si>
  <si>
    <t>10.00 -11.00 A.M.</t>
  </si>
  <si>
    <t>11.00 -12.00 P.M.</t>
  </si>
  <si>
    <t>12.00 - 01.00 P.M.</t>
  </si>
  <si>
    <t>02:00 - 03:00 P.M.</t>
  </si>
  <si>
    <t>03:00 - 04:00 P.M.</t>
  </si>
  <si>
    <t>04:00 - 05:00 P.M.</t>
  </si>
  <si>
    <t>Sub Code</t>
  </si>
  <si>
    <t>Subject Name</t>
  </si>
  <si>
    <t>Name of Faculty Members</t>
  </si>
  <si>
    <t>Room - F316</t>
  </si>
  <si>
    <t>Room - A207</t>
  </si>
  <si>
    <t>Room - A208</t>
  </si>
  <si>
    <t>Room - A317</t>
  </si>
  <si>
    <t>TIME TABLE FOR EVEN SEMESTER 2026</t>
  </si>
  <si>
    <t>PBL Coordinator - Mr.Simanta Kalita / Guides</t>
  </si>
  <si>
    <t>CA109A4 - PHP LAB (SEC A - Gr-I&amp;II)</t>
  </si>
  <si>
    <t>CA108A4  - DBMS LAB (SEC A Gr-I&amp;II)</t>
  </si>
  <si>
    <t>CA109A4 - PHP LAB (SEC B Gr-III &amp;IV)</t>
  </si>
  <si>
    <t>CA108A4  - DBMS LAB (SEC B Gr-III &amp; IV)</t>
  </si>
  <si>
    <t>DTTO, CA</t>
  </si>
  <si>
    <t>HOD, CA</t>
  </si>
  <si>
    <t>COURSE WISE (REVISED)</t>
  </si>
  <si>
    <t>Dr.M. P./Mr. G.P./Dr.S.D./Mr.V.T.(Gr-I, II, III &amp; IV)</t>
  </si>
  <si>
    <t>Mr.G.P./ Dr.M.P. /Mr.S.K. (Gr.-I, II, III &amp; IV)</t>
  </si>
  <si>
    <t>Mr.S.K. / Dr.S.D (G-I)/Mr.BP (G-II)</t>
  </si>
  <si>
    <t>Mrs.K.S / Mr.B.P</t>
  </si>
  <si>
    <t xml:space="preserve">Online (Mr.Bishal Pradhan - Mentor) </t>
  </si>
  <si>
    <t>Dr.Jit Sarkar</t>
  </si>
  <si>
    <t>Dr. Chandrima Ray Chaudhuri (Emp Code) 2102</t>
  </si>
  <si>
    <t>CA1310A</t>
  </si>
  <si>
    <t>CA1502A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</si>
</sst>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8"/>
      <name val="Tahoma"/>
      <family val="2"/>
    </font>
    <font>
      <sz val="9"/>
      <color rgb="FF000000"/>
      <name val="Cambria"/>
      <family val="1"/>
    </font>
    <font>
      <b/>
      <sz val="9"/>
      <color rgb="FF000000"/>
      <name val="Cambria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242424"/>
      <name val="Aptos Narrow"/>
      <family val="2"/>
    </font>
    <font>
      <sz val="9"/>
      <color rgb="FF000000"/>
      <name val="Cambria"/>
      <family val="1"/>
    </font>
    <font>
      <sz val="8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9"/>
      <color theme="1"/>
      <name val="Cambria"/>
      <family val="1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4" borderId="0" xfId="0" applyFont="1" applyFill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10" fillId="8" borderId="5" xfId="0" applyFont="1" applyFill="1" applyBorder="1" applyAlignment="1">
      <alignment vertical="top" wrapText="1"/>
    </xf>
    <xf numFmtId="0" fontId="10" fillId="7" borderId="5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/>
    <xf numFmtId="0" fontId="8" fillId="0" borderId="6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0" applyFont="1" applyBorder="1"/>
    <xf numFmtId="0" fontId="1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 indent="1"/>
    </xf>
    <xf numFmtId="0" fontId="17" fillId="0" borderId="0" xfId="0" applyFont="1"/>
    <xf numFmtId="0" fontId="17" fillId="0" borderId="3" xfId="0" applyFont="1" applyBorder="1"/>
    <xf numFmtId="0" fontId="16" fillId="0" borderId="3" xfId="0" applyFont="1" applyBorder="1"/>
    <xf numFmtId="0" fontId="1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9" borderId="1" xfId="0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4" fillId="9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16" fontId="20" fillId="0" borderId="1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1" fillId="13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vertical="center" wrapText="1"/>
    </xf>
    <xf numFmtId="0" fontId="11" fillId="17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14" borderId="1" xfId="0" applyFont="1" applyFill="1" applyBorder="1" applyAlignment="1">
      <alignment vertical="center" wrapText="1"/>
    </xf>
    <xf numFmtId="0" fontId="13" fillId="19" borderId="1" xfId="0" applyFont="1" applyFill="1" applyBorder="1" applyAlignment="1">
      <alignment vertical="center" wrapText="1"/>
    </xf>
    <xf numFmtId="0" fontId="13" fillId="20" borderId="1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1" fillId="21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vertical="center" wrapText="1"/>
    </xf>
    <xf numFmtId="0" fontId="11" fillId="22" borderId="1" xfId="0" applyFont="1" applyFill="1" applyBorder="1" applyAlignment="1">
      <alignment horizontal="left" vertical="center" wrapText="1" indent="1"/>
    </xf>
    <xf numFmtId="0" fontId="11" fillId="13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vertical="center" wrapText="1"/>
    </xf>
    <xf numFmtId="0" fontId="11" fillId="2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1" fillId="9" borderId="1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9" fillId="2" borderId="1" xfId="0" applyFont="1" applyFill="1" applyBorder="1" applyAlignment="1">
      <alignment horizontal="center" vertical="center" textRotation="255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textRotation="255"/>
    </xf>
    <xf numFmtId="0" fontId="19" fillId="2" borderId="11" xfId="0" applyFont="1" applyFill="1" applyBorder="1" applyAlignment="1">
      <alignment horizontal="center" vertical="center" textRotation="255"/>
    </xf>
    <xf numFmtId="0" fontId="19" fillId="2" borderId="10" xfId="0" applyFont="1" applyFill="1" applyBorder="1" applyAlignment="1">
      <alignment horizontal="center" vertical="center" textRotation="255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textRotation="255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center" vertical="center" textRotation="255"/>
    </xf>
    <xf numFmtId="0" fontId="19" fillId="0" borderId="11" xfId="0" applyFont="1" applyBorder="1" applyAlignment="1">
      <alignment horizontal="center" vertical="center" textRotation="255"/>
    </xf>
    <xf numFmtId="0" fontId="19" fillId="0" borderId="10" xfId="0" applyFont="1" applyBorder="1" applyAlignment="1">
      <alignment horizontal="center" vertical="center" textRotation="255"/>
    </xf>
    <xf numFmtId="0" fontId="2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B16C-7ADB-4BAB-A744-A2149735D7AF}">
  <dimension ref="A1:D63"/>
  <sheetViews>
    <sheetView topLeftCell="A44" zoomScaleNormal="100" workbookViewId="0">
      <selection activeCell="B61" sqref="B61"/>
    </sheetView>
  </sheetViews>
  <sheetFormatPr defaultColWidth="8.88671875" defaultRowHeight="13.2" x14ac:dyDescent="0.25"/>
  <cols>
    <col min="1" max="1" width="17.33203125" style="15" customWidth="1"/>
    <col min="2" max="2" width="49" style="15" customWidth="1"/>
    <col min="3" max="3" width="10.109375" style="36" customWidth="1"/>
    <col min="4" max="4" width="11.6640625" style="15" hidden="1" customWidth="1"/>
    <col min="5" max="16384" width="8.88671875" style="15"/>
  </cols>
  <sheetData>
    <row r="1" spans="1:4" ht="21" customHeight="1" x14ac:dyDescent="0.25">
      <c r="A1" s="159" t="s">
        <v>0</v>
      </c>
      <c r="B1" s="159"/>
      <c r="C1" s="159"/>
      <c r="D1" s="48"/>
    </row>
    <row r="2" spans="1:4" ht="18" customHeight="1" x14ac:dyDescent="0.25">
      <c r="A2" s="64" t="s">
        <v>1</v>
      </c>
      <c r="B2" s="48"/>
      <c r="C2" s="17"/>
      <c r="D2" s="48" t="s">
        <v>322</v>
      </c>
    </row>
    <row r="3" spans="1:4" s="9" customFormat="1" ht="18" customHeight="1" x14ac:dyDescent="0.3">
      <c r="A3" s="19" t="s">
        <v>2</v>
      </c>
      <c r="B3" s="19" t="s">
        <v>3</v>
      </c>
      <c r="C3" s="39" t="s">
        <v>4</v>
      </c>
      <c r="D3" s="6" t="s">
        <v>5</v>
      </c>
    </row>
    <row r="4" spans="1:4" ht="18" customHeight="1" x14ac:dyDescent="0.25">
      <c r="A4" s="65" t="s">
        <v>6</v>
      </c>
      <c r="B4" s="60" t="s">
        <v>7</v>
      </c>
      <c r="C4" s="5">
        <v>4</v>
      </c>
      <c r="D4" s="48" t="s">
        <v>8</v>
      </c>
    </row>
    <row r="5" spans="1:4" ht="18" customHeight="1" x14ac:dyDescent="0.25">
      <c r="A5" s="65" t="s">
        <v>9</v>
      </c>
      <c r="B5" s="60" t="s">
        <v>10</v>
      </c>
      <c r="C5" s="5">
        <v>4</v>
      </c>
      <c r="D5" s="48" t="s">
        <v>171</v>
      </c>
    </row>
    <row r="6" spans="1:4" ht="18" customHeight="1" x14ac:dyDescent="0.25">
      <c r="A6" s="65" t="s">
        <v>11</v>
      </c>
      <c r="B6" s="60" t="s">
        <v>12</v>
      </c>
      <c r="C6" s="5">
        <v>4</v>
      </c>
      <c r="D6" s="48" t="s">
        <v>152</v>
      </c>
    </row>
    <row r="7" spans="1:4" s="95" customFormat="1" ht="18" customHeight="1" x14ac:dyDescent="0.25">
      <c r="A7" s="93" t="s">
        <v>13</v>
      </c>
      <c r="B7" s="94" t="s">
        <v>14</v>
      </c>
      <c r="C7" s="96">
        <v>1</v>
      </c>
      <c r="D7" s="92" t="s">
        <v>15</v>
      </c>
    </row>
    <row r="8" spans="1:4" ht="18" customHeight="1" x14ac:dyDescent="0.25">
      <c r="A8" s="67" t="s">
        <v>16</v>
      </c>
      <c r="B8" s="68" t="s">
        <v>17</v>
      </c>
      <c r="C8" s="5"/>
      <c r="D8" s="48"/>
    </row>
    <row r="9" spans="1:4" ht="18" customHeight="1" x14ac:dyDescent="0.25">
      <c r="A9" s="65" t="s">
        <v>18</v>
      </c>
      <c r="B9" s="60" t="s">
        <v>19</v>
      </c>
      <c r="C9" s="5">
        <v>4</v>
      </c>
      <c r="D9" s="48" t="s">
        <v>321</v>
      </c>
    </row>
    <row r="10" spans="1:4" ht="18" customHeight="1" x14ac:dyDescent="0.25">
      <c r="A10" s="65" t="s">
        <v>20</v>
      </c>
      <c r="B10" s="60" t="s">
        <v>21</v>
      </c>
      <c r="C10" s="5">
        <v>4</v>
      </c>
      <c r="D10" s="48" t="s">
        <v>152</v>
      </c>
    </row>
    <row r="11" spans="1:4" s="95" customFormat="1" ht="18" customHeight="1" x14ac:dyDescent="0.25">
      <c r="A11" s="93" t="s">
        <v>22</v>
      </c>
      <c r="B11" s="94" t="s">
        <v>23</v>
      </c>
      <c r="C11" s="96">
        <v>2</v>
      </c>
      <c r="D11" s="92" t="s">
        <v>15</v>
      </c>
    </row>
    <row r="12" spans="1:4" ht="18" customHeight="1" x14ac:dyDescent="0.25">
      <c r="A12" s="65" t="s">
        <v>24</v>
      </c>
      <c r="B12" s="60" t="s">
        <v>25</v>
      </c>
      <c r="C12" s="17">
        <v>1</v>
      </c>
      <c r="D12" s="48"/>
    </row>
    <row r="13" spans="1:4" ht="18" customHeight="1" x14ac:dyDescent="0.25">
      <c r="A13" s="65" t="s">
        <v>26</v>
      </c>
      <c r="B13" s="60" t="s">
        <v>27</v>
      </c>
      <c r="C13" s="5">
        <v>1</v>
      </c>
      <c r="D13" s="48"/>
    </row>
    <row r="14" spans="1:4" ht="18" customHeight="1" x14ac:dyDescent="0.25">
      <c r="A14" s="65" t="s">
        <v>29</v>
      </c>
      <c r="B14" s="61" t="s">
        <v>30</v>
      </c>
      <c r="C14" s="5">
        <v>1</v>
      </c>
      <c r="D14" s="48"/>
    </row>
    <row r="15" spans="1:4" ht="18" customHeight="1" x14ac:dyDescent="0.25">
      <c r="A15" s="40"/>
      <c r="B15" s="19" t="s">
        <v>31</v>
      </c>
      <c r="C15" s="39">
        <f>SUM(C4:C14) - 4</f>
        <v>22</v>
      </c>
      <c r="D15" s="48"/>
    </row>
    <row r="16" spans="1:4" ht="18" customHeight="1" x14ac:dyDescent="0.25">
      <c r="A16" s="40"/>
      <c r="B16" s="40"/>
      <c r="C16" s="5"/>
      <c r="D16" s="48"/>
    </row>
    <row r="17" spans="1:4" ht="18" customHeight="1" x14ac:dyDescent="0.25">
      <c r="A17" s="19" t="s">
        <v>32</v>
      </c>
      <c r="B17" s="19"/>
      <c r="C17" s="39"/>
      <c r="D17" s="48"/>
    </row>
    <row r="18" spans="1:4" ht="18" customHeight="1" x14ac:dyDescent="0.25">
      <c r="A18" s="19" t="s">
        <v>2</v>
      </c>
      <c r="B18" s="19" t="s">
        <v>3</v>
      </c>
      <c r="C18" s="39" t="s">
        <v>4</v>
      </c>
      <c r="D18" s="48"/>
    </row>
    <row r="19" spans="1:4" ht="18" customHeight="1" x14ac:dyDescent="0.25">
      <c r="A19" s="65" t="s">
        <v>33</v>
      </c>
      <c r="B19" s="60" t="s">
        <v>34</v>
      </c>
      <c r="C19" s="5">
        <v>4</v>
      </c>
      <c r="D19" s="48" t="s">
        <v>228</v>
      </c>
    </row>
    <row r="20" spans="1:4" ht="18" customHeight="1" x14ac:dyDescent="0.25">
      <c r="A20" s="65" t="s">
        <v>35</v>
      </c>
      <c r="B20" s="60" t="s">
        <v>36</v>
      </c>
      <c r="C20" s="5">
        <v>4</v>
      </c>
      <c r="D20" s="48" t="s">
        <v>201</v>
      </c>
    </row>
    <row r="21" spans="1:4" ht="18" customHeight="1" x14ac:dyDescent="0.25">
      <c r="A21" s="65" t="s">
        <v>37</v>
      </c>
      <c r="B21" s="60" t="s">
        <v>38</v>
      </c>
      <c r="C21" s="50">
        <v>2</v>
      </c>
      <c r="D21" s="48" t="s">
        <v>186</v>
      </c>
    </row>
    <row r="22" spans="1:4" ht="18" customHeight="1" x14ac:dyDescent="0.25">
      <c r="A22" s="65" t="s">
        <v>39</v>
      </c>
      <c r="B22" s="60" t="s">
        <v>40</v>
      </c>
      <c r="C22" s="5">
        <v>4</v>
      </c>
      <c r="D22" s="48" t="s">
        <v>140</v>
      </c>
    </row>
    <row r="23" spans="1:4" ht="18" customHeight="1" x14ac:dyDescent="0.25">
      <c r="A23" s="67" t="s">
        <v>16</v>
      </c>
      <c r="B23" s="68" t="s">
        <v>41</v>
      </c>
      <c r="C23" s="5"/>
      <c r="D23" s="48"/>
    </row>
    <row r="24" spans="1:4" ht="18" customHeight="1" x14ac:dyDescent="0.25">
      <c r="A24" s="65" t="s">
        <v>42</v>
      </c>
      <c r="B24" s="60" t="s">
        <v>43</v>
      </c>
      <c r="C24" s="5">
        <v>4</v>
      </c>
      <c r="D24" s="48"/>
    </row>
    <row r="25" spans="1:4" ht="18" customHeight="1" x14ac:dyDescent="0.25">
      <c r="A25" s="65" t="s">
        <v>44</v>
      </c>
      <c r="B25" s="60" t="s">
        <v>45</v>
      </c>
      <c r="C25" s="5">
        <v>4</v>
      </c>
      <c r="D25" s="48"/>
    </row>
    <row r="26" spans="1:4" ht="18" customHeight="1" x14ac:dyDescent="0.25">
      <c r="A26" s="65" t="s">
        <v>46</v>
      </c>
      <c r="B26" s="60" t="s">
        <v>47</v>
      </c>
      <c r="C26" s="5">
        <v>1</v>
      </c>
      <c r="D26" s="48"/>
    </row>
    <row r="27" spans="1:4" ht="18" customHeight="1" x14ac:dyDescent="0.25">
      <c r="A27" s="65" t="s">
        <v>48</v>
      </c>
      <c r="B27" s="60" t="s">
        <v>49</v>
      </c>
      <c r="C27" s="5">
        <v>1</v>
      </c>
      <c r="D27" s="48"/>
    </row>
    <row r="28" spans="1:4" ht="18" customHeight="1" x14ac:dyDescent="0.25">
      <c r="A28" s="40"/>
      <c r="B28" s="19" t="s">
        <v>31</v>
      </c>
      <c r="C28" s="39">
        <f>SUM(C19:C27)-4</f>
        <v>20</v>
      </c>
      <c r="D28" s="48"/>
    </row>
    <row r="29" spans="1:4" ht="18" customHeight="1" x14ac:dyDescent="0.25">
      <c r="A29" s="40"/>
      <c r="B29" s="40"/>
      <c r="C29" s="5"/>
      <c r="D29" s="48"/>
    </row>
    <row r="30" spans="1:4" ht="18" customHeight="1" x14ac:dyDescent="0.25">
      <c r="A30" s="19" t="s">
        <v>50</v>
      </c>
      <c r="B30" s="40"/>
      <c r="C30" s="5"/>
      <c r="D30" s="48"/>
    </row>
    <row r="31" spans="1:4" ht="18" customHeight="1" x14ac:dyDescent="0.25">
      <c r="A31" s="19" t="s">
        <v>2</v>
      </c>
      <c r="B31" s="19" t="s">
        <v>3</v>
      </c>
      <c r="C31" s="39" t="s">
        <v>4</v>
      </c>
      <c r="D31" s="48"/>
    </row>
    <row r="32" spans="1:4" ht="18" customHeight="1" x14ac:dyDescent="0.25">
      <c r="A32" s="63" t="s">
        <v>271</v>
      </c>
      <c r="B32" s="63" t="s">
        <v>52</v>
      </c>
      <c r="C32" s="62">
        <v>4</v>
      </c>
      <c r="D32" s="48" t="s">
        <v>183</v>
      </c>
    </row>
    <row r="33" spans="1:4" ht="18" customHeight="1" x14ac:dyDescent="0.25">
      <c r="A33" s="63" t="s">
        <v>287</v>
      </c>
      <c r="B33" s="63" t="s">
        <v>54</v>
      </c>
      <c r="C33" s="62">
        <v>4</v>
      </c>
      <c r="D33" s="48" t="s">
        <v>321</v>
      </c>
    </row>
    <row r="34" spans="1:4" ht="18" customHeight="1" x14ac:dyDescent="0.25">
      <c r="A34" s="66" t="s">
        <v>55</v>
      </c>
      <c r="B34" s="66" t="s">
        <v>56</v>
      </c>
      <c r="C34" s="62"/>
      <c r="D34" s="48"/>
    </row>
    <row r="35" spans="1:4" ht="18" customHeight="1" x14ac:dyDescent="0.25">
      <c r="A35" s="63" t="s">
        <v>282</v>
      </c>
      <c r="B35" s="63" t="s">
        <v>58</v>
      </c>
      <c r="C35" s="62">
        <v>4</v>
      </c>
      <c r="D35" s="48" t="s">
        <v>140</v>
      </c>
    </row>
    <row r="36" spans="1:4" ht="18" customHeight="1" x14ac:dyDescent="0.25">
      <c r="A36" s="63" t="s">
        <v>285</v>
      </c>
      <c r="B36" s="63" t="s">
        <v>60</v>
      </c>
      <c r="C36" s="62">
        <v>4</v>
      </c>
      <c r="D36" s="48" t="s">
        <v>201</v>
      </c>
    </row>
    <row r="37" spans="1:4" ht="18" customHeight="1" x14ac:dyDescent="0.25">
      <c r="A37" s="66" t="s">
        <v>55</v>
      </c>
      <c r="B37" s="66" t="s">
        <v>61</v>
      </c>
      <c r="C37" s="17"/>
      <c r="D37" s="48"/>
    </row>
    <row r="38" spans="1:4" ht="18" customHeight="1" x14ac:dyDescent="0.25">
      <c r="A38" s="63" t="s">
        <v>404</v>
      </c>
      <c r="B38" s="63" t="s">
        <v>63</v>
      </c>
      <c r="C38" s="17">
        <v>4</v>
      </c>
      <c r="D38" s="48"/>
    </row>
    <row r="39" spans="1:4" ht="18" customHeight="1" x14ac:dyDescent="0.25">
      <c r="A39" s="63" t="s">
        <v>277</v>
      </c>
      <c r="B39" s="63" t="s">
        <v>65</v>
      </c>
      <c r="C39" s="17">
        <v>4</v>
      </c>
      <c r="D39" s="48"/>
    </row>
    <row r="40" spans="1:4" ht="18" customHeight="1" x14ac:dyDescent="0.25">
      <c r="A40" s="63" t="s">
        <v>274</v>
      </c>
      <c r="B40" s="63" t="s">
        <v>67</v>
      </c>
      <c r="C40" s="62">
        <v>1</v>
      </c>
      <c r="D40" s="48"/>
    </row>
    <row r="41" spans="1:4" ht="18" customHeight="1" x14ac:dyDescent="0.25">
      <c r="A41" s="63" t="s">
        <v>283</v>
      </c>
      <c r="B41" s="63" t="s">
        <v>68</v>
      </c>
      <c r="C41" s="62">
        <v>1</v>
      </c>
      <c r="D41" s="48"/>
    </row>
    <row r="42" spans="1:4" ht="18" customHeight="1" x14ac:dyDescent="0.25">
      <c r="A42" s="63" t="s">
        <v>405</v>
      </c>
      <c r="B42" s="63" t="s">
        <v>70</v>
      </c>
      <c r="C42" s="62">
        <v>6</v>
      </c>
      <c r="D42" s="48"/>
    </row>
    <row r="43" spans="1:4" ht="18" customHeight="1" x14ac:dyDescent="0.25">
      <c r="A43" s="40"/>
      <c r="B43" s="19" t="s">
        <v>31</v>
      </c>
      <c r="C43" s="39">
        <f>SUM(C32:C42)-8</f>
        <v>24</v>
      </c>
      <c r="D43" s="48"/>
    </row>
    <row r="44" spans="1:4" ht="18" customHeight="1" x14ac:dyDescent="0.25">
      <c r="A44" s="40"/>
      <c r="B44" s="40"/>
      <c r="C44" s="5"/>
      <c r="D44" s="48"/>
    </row>
    <row r="45" spans="1:4" ht="18" customHeight="1" x14ac:dyDescent="0.25">
      <c r="A45" s="19" t="s">
        <v>71</v>
      </c>
      <c r="B45" s="40"/>
      <c r="C45" s="5"/>
      <c r="D45" s="48"/>
    </row>
    <row r="46" spans="1:4" ht="18" customHeight="1" x14ac:dyDescent="0.25">
      <c r="A46" s="19" t="s">
        <v>2</v>
      </c>
      <c r="B46" s="19" t="s">
        <v>3</v>
      </c>
      <c r="C46" s="39" t="s">
        <v>4</v>
      </c>
      <c r="D46" s="48"/>
    </row>
    <row r="47" spans="1:4" ht="18" customHeight="1" x14ac:dyDescent="0.25">
      <c r="A47" s="63" t="s">
        <v>72</v>
      </c>
      <c r="B47" s="63" t="s">
        <v>73</v>
      </c>
      <c r="C47" s="62">
        <v>3</v>
      </c>
      <c r="D47" s="48" t="s">
        <v>74</v>
      </c>
    </row>
    <row r="48" spans="1:4" ht="18" customHeight="1" x14ac:dyDescent="0.25">
      <c r="A48" s="63" t="s">
        <v>75</v>
      </c>
      <c r="B48" s="63" t="s">
        <v>76</v>
      </c>
      <c r="C48" s="62">
        <v>3</v>
      </c>
      <c r="D48" s="48" t="s">
        <v>214</v>
      </c>
    </row>
    <row r="49" spans="1:4" ht="18" customHeight="1" x14ac:dyDescent="0.25">
      <c r="A49" s="63" t="s">
        <v>77</v>
      </c>
      <c r="B49" s="63" t="s">
        <v>78</v>
      </c>
      <c r="C49" s="62">
        <v>3</v>
      </c>
      <c r="D49" s="48" t="s">
        <v>190</v>
      </c>
    </row>
    <row r="50" spans="1:4" ht="18" customHeight="1" x14ac:dyDescent="0.25">
      <c r="A50" s="63" t="s">
        <v>79</v>
      </c>
      <c r="B50" s="63" t="s">
        <v>80</v>
      </c>
      <c r="C50" s="62">
        <v>3</v>
      </c>
      <c r="D50" s="48" t="s">
        <v>214</v>
      </c>
    </row>
    <row r="51" spans="1:4" ht="18" customHeight="1" x14ac:dyDescent="0.25">
      <c r="A51" s="66" t="s">
        <v>81</v>
      </c>
      <c r="B51" s="66" t="s">
        <v>82</v>
      </c>
      <c r="C51" s="62"/>
      <c r="D51" s="48"/>
    </row>
    <row r="52" spans="1:4" ht="18" customHeight="1" x14ac:dyDescent="0.25">
      <c r="A52" s="77" t="s">
        <v>83</v>
      </c>
      <c r="B52" s="65" t="s">
        <v>84</v>
      </c>
      <c r="C52" s="62">
        <v>3</v>
      </c>
      <c r="D52" s="48" t="s">
        <v>152</v>
      </c>
    </row>
    <row r="53" spans="1:4" ht="18" customHeight="1" x14ac:dyDescent="0.25">
      <c r="A53" s="66" t="s">
        <v>81</v>
      </c>
      <c r="B53" s="66" t="s">
        <v>85</v>
      </c>
      <c r="C53" s="62"/>
      <c r="D53" s="48"/>
    </row>
    <row r="54" spans="1:4" ht="18" customHeight="1" x14ac:dyDescent="0.25">
      <c r="A54" s="60" t="s">
        <v>86</v>
      </c>
      <c r="B54" s="60" t="s">
        <v>87</v>
      </c>
      <c r="C54" s="62">
        <v>3</v>
      </c>
      <c r="D54" s="48" t="s">
        <v>190</v>
      </c>
    </row>
    <row r="55" spans="1:4" ht="18" customHeight="1" x14ac:dyDescent="0.25">
      <c r="A55" s="60" t="s">
        <v>88</v>
      </c>
      <c r="B55" s="60" t="s">
        <v>89</v>
      </c>
      <c r="C55" s="62">
        <v>3</v>
      </c>
      <c r="D55" s="48" t="s">
        <v>163</v>
      </c>
    </row>
    <row r="56" spans="1:4" ht="18" customHeight="1" x14ac:dyDescent="0.25">
      <c r="A56" s="63" t="s">
        <v>90</v>
      </c>
      <c r="B56" s="63" t="s">
        <v>91</v>
      </c>
      <c r="C56" s="62">
        <v>1</v>
      </c>
      <c r="D56" s="48"/>
    </row>
    <row r="57" spans="1:4" ht="18" customHeight="1" x14ac:dyDescent="0.25">
      <c r="A57" s="63" t="s">
        <v>92</v>
      </c>
      <c r="B57" s="63" t="s">
        <v>93</v>
      </c>
      <c r="C57" s="62">
        <v>1</v>
      </c>
      <c r="D57" s="48"/>
    </row>
    <row r="58" spans="1:4" ht="18" customHeight="1" x14ac:dyDescent="0.25">
      <c r="A58" s="63" t="s">
        <v>94</v>
      </c>
      <c r="B58" s="63" t="s">
        <v>95</v>
      </c>
      <c r="C58" s="62">
        <v>1</v>
      </c>
      <c r="D58" s="48"/>
    </row>
    <row r="59" spans="1:4" ht="18" customHeight="1" x14ac:dyDescent="0.25">
      <c r="A59" s="63"/>
      <c r="B59" s="66" t="s">
        <v>31</v>
      </c>
      <c r="C59" s="71">
        <f>SUM(C47:C58) - 3</f>
        <v>21</v>
      </c>
      <c r="D59" s="48"/>
    </row>
    <row r="60" spans="1:4" ht="21.6" customHeight="1" x14ac:dyDescent="0.25">
      <c r="A60" s="69"/>
      <c r="B60" s="69"/>
      <c r="C60" s="70"/>
    </row>
    <row r="61" spans="1:4" ht="21.6" customHeight="1" x14ac:dyDescent="0.25">
      <c r="A61" s="69"/>
      <c r="B61" s="69"/>
      <c r="C61" s="70"/>
    </row>
    <row r="62" spans="1:4" ht="21.6" customHeight="1" x14ac:dyDescent="0.25">
      <c r="A62" s="69"/>
      <c r="B62" s="69"/>
      <c r="C62" s="70"/>
    </row>
    <row r="63" spans="1:4" ht="21.6" customHeight="1" x14ac:dyDescent="0.25">
      <c r="A63" s="69"/>
      <c r="B63" s="69"/>
      <c r="C63" s="70"/>
    </row>
  </sheetData>
  <mergeCells count="1">
    <mergeCell ref="A1:C1"/>
  </mergeCells>
  <pageMargins left="0.70866141732283472" right="0.15748031496062992" top="0.35433070866141736" bottom="0.23622047244094491" header="0.59055118110236227" footer="0.15748031496062992"/>
  <pageSetup scale="9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A6BF-2C13-47E0-A910-6613778CB5D9}">
  <dimension ref="A1:M13"/>
  <sheetViews>
    <sheetView workbookViewId="0">
      <selection activeCell="D9" sqref="D9"/>
    </sheetView>
  </sheetViews>
  <sheetFormatPr defaultRowHeight="14.4" x14ac:dyDescent="0.3"/>
  <cols>
    <col min="1" max="1" width="22.44140625" customWidth="1"/>
    <col min="2" max="2" width="9.109375" style="11"/>
    <col min="3" max="9" width="12.88671875" style="11" customWidth="1"/>
    <col min="10" max="11" width="6.5546875" style="11" hidden="1" customWidth="1"/>
  </cols>
  <sheetData>
    <row r="1" spans="1:13" ht="15.6" x14ac:dyDescent="0.3">
      <c r="A1" s="160" t="s">
        <v>96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3" ht="15" x14ac:dyDescent="0.3">
      <c r="A2" s="161" t="s">
        <v>97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</row>
    <row r="3" spans="1:13" s="8" customFormat="1" ht="21" customHeight="1" x14ac:dyDescent="0.3">
      <c r="A3" s="41" t="s">
        <v>98</v>
      </c>
      <c r="B3" s="41" t="s">
        <v>2</v>
      </c>
      <c r="C3" s="41" t="s">
        <v>99</v>
      </c>
      <c r="D3" s="41" t="s">
        <v>100</v>
      </c>
      <c r="E3" s="41" t="s">
        <v>101</v>
      </c>
      <c r="F3" s="41" t="s">
        <v>102</v>
      </c>
      <c r="G3" s="41" t="s">
        <v>103</v>
      </c>
      <c r="H3" s="41" t="s">
        <v>104</v>
      </c>
      <c r="I3" s="59" t="s">
        <v>105</v>
      </c>
      <c r="J3" s="59" t="s">
        <v>106</v>
      </c>
      <c r="K3" s="59" t="s">
        <v>107</v>
      </c>
    </row>
    <row r="4" spans="1:13" s="23" customFormat="1" ht="37.950000000000003" customHeight="1" x14ac:dyDescent="0.3">
      <c r="A4" s="73" t="s">
        <v>108</v>
      </c>
      <c r="B4" s="74">
        <v>1401</v>
      </c>
      <c r="C4" s="72" t="s">
        <v>109</v>
      </c>
      <c r="D4" s="75"/>
      <c r="E4" s="75"/>
      <c r="F4" s="72" t="s">
        <v>46</v>
      </c>
      <c r="G4" s="72" t="s">
        <v>46</v>
      </c>
      <c r="H4" s="72"/>
      <c r="I4" s="75"/>
      <c r="J4" s="75"/>
      <c r="K4" s="75"/>
    </row>
    <row r="5" spans="1:13" s="23" customFormat="1" ht="37.950000000000003" customHeight="1" x14ac:dyDescent="0.3">
      <c r="A5" s="73" t="s">
        <v>110</v>
      </c>
      <c r="B5" s="74">
        <v>1718</v>
      </c>
      <c r="C5" s="63" t="s">
        <v>75</v>
      </c>
      <c r="D5" s="63" t="s">
        <v>79</v>
      </c>
      <c r="E5" s="75"/>
      <c r="F5" s="72"/>
      <c r="G5" s="72"/>
      <c r="H5" s="72"/>
      <c r="I5" s="75"/>
      <c r="J5" s="75"/>
      <c r="K5" s="75"/>
    </row>
    <row r="6" spans="1:13" s="23" customFormat="1" ht="37.950000000000003" customHeight="1" x14ac:dyDescent="0.3">
      <c r="A6" s="73" t="s">
        <v>111</v>
      </c>
      <c r="B6" s="74">
        <v>2084</v>
      </c>
      <c r="C6" s="72"/>
      <c r="D6" s="72"/>
      <c r="E6" s="72"/>
      <c r="F6" s="72"/>
      <c r="G6" s="91"/>
      <c r="H6" s="72"/>
      <c r="I6" s="75"/>
      <c r="J6" s="75"/>
      <c r="K6" s="75"/>
    </row>
    <row r="7" spans="1:13" s="23" customFormat="1" ht="37.950000000000003" customHeight="1" x14ac:dyDescent="0.3">
      <c r="A7" s="73" t="s">
        <v>112</v>
      </c>
      <c r="B7" s="74">
        <v>2133</v>
      </c>
      <c r="C7" s="72" t="s">
        <v>64</v>
      </c>
      <c r="D7" s="72" t="s">
        <v>113</v>
      </c>
      <c r="E7" s="72"/>
      <c r="F7" s="90" t="s">
        <v>114</v>
      </c>
      <c r="G7" s="89" t="s">
        <v>115</v>
      </c>
      <c r="H7" s="88"/>
      <c r="I7" s="72"/>
      <c r="J7" s="75"/>
      <c r="K7" s="75"/>
    </row>
    <row r="8" spans="1:13" s="23" customFormat="1" ht="37.950000000000003" customHeight="1" x14ac:dyDescent="0.3">
      <c r="A8" s="73" t="s">
        <v>116</v>
      </c>
      <c r="B8" s="74">
        <v>3992</v>
      </c>
      <c r="C8" s="65" t="s">
        <v>9</v>
      </c>
      <c r="D8" s="63" t="s">
        <v>62</v>
      </c>
      <c r="E8" s="65" t="s">
        <v>9</v>
      </c>
      <c r="F8" s="65" t="s">
        <v>24</v>
      </c>
      <c r="G8" s="85" t="s">
        <v>24</v>
      </c>
      <c r="H8" s="65" t="s">
        <v>26</v>
      </c>
      <c r="I8" s="65" t="s">
        <v>26</v>
      </c>
      <c r="J8" s="75"/>
      <c r="K8" s="75"/>
    </row>
    <row r="9" spans="1:13" s="23" customFormat="1" ht="37.950000000000003" customHeight="1" x14ac:dyDescent="0.3">
      <c r="A9" s="73" t="s">
        <v>117</v>
      </c>
      <c r="B9" s="74">
        <v>3994</v>
      </c>
      <c r="C9" s="72" t="s">
        <v>118</v>
      </c>
      <c r="D9" s="63" t="s">
        <v>323</v>
      </c>
      <c r="E9" s="75"/>
      <c r="F9" s="72"/>
      <c r="G9" s="72"/>
      <c r="H9" s="72"/>
      <c r="I9" s="72"/>
      <c r="J9" s="75"/>
      <c r="K9" s="75"/>
    </row>
    <row r="10" spans="1:13" ht="42" customHeight="1" x14ac:dyDescent="0.3">
      <c r="A10" s="73" t="s">
        <v>119</v>
      </c>
      <c r="B10" s="74">
        <v>9998</v>
      </c>
      <c r="C10" s="83" t="s">
        <v>11</v>
      </c>
      <c r="D10" s="83" t="s">
        <v>120</v>
      </c>
      <c r="E10" s="78" t="s">
        <v>121</v>
      </c>
      <c r="F10" s="83" t="s">
        <v>26</v>
      </c>
      <c r="G10" s="83" t="s">
        <v>122</v>
      </c>
      <c r="H10" s="84" t="s">
        <v>66</v>
      </c>
      <c r="I10" s="83" t="s">
        <v>48</v>
      </c>
      <c r="J10" s="12"/>
      <c r="K10" s="12"/>
      <c r="M10" s="23"/>
    </row>
    <row r="11" spans="1:13" s="23" customFormat="1" ht="37.950000000000003" customHeight="1" x14ac:dyDescent="0.3">
      <c r="A11" s="73" t="s">
        <v>123</v>
      </c>
      <c r="B11" s="81">
        <v>5889</v>
      </c>
      <c r="C11" s="79" t="s">
        <v>124</v>
      </c>
      <c r="D11" s="79" t="s">
        <v>121</v>
      </c>
      <c r="E11" s="80" t="s">
        <v>125</v>
      </c>
      <c r="F11" s="79" t="s">
        <v>115</v>
      </c>
      <c r="G11" s="79" t="s">
        <v>115</v>
      </c>
      <c r="H11" s="79" t="s">
        <v>122</v>
      </c>
      <c r="I11" s="79" t="s">
        <v>126</v>
      </c>
      <c r="J11" s="82"/>
      <c r="K11" s="75"/>
    </row>
    <row r="12" spans="1:13" s="23" customFormat="1" ht="37.950000000000003" customHeight="1" x14ac:dyDescent="0.3">
      <c r="A12" s="73" t="s">
        <v>127</v>
      </c>
      <c r="B12" s="74">
        <v>5902</v>
      </c>
      <c r="C12" s="85" t="s">
        <v>42</v>
      </c>
      <c r="D12" s="85" t="s">
        <v>33</v>
      </c>
      <c r="E12" s="86" t="s">
        <v>86</v>
      </c>
      <c r="F12" s="85" t="s">
        <v>46</v>
      </c>
      <c r="G12" s="85" t="s">
        <v>46</v>
      </c>
      <c r="H12" s="87"/>
      <c r="I12" s="87"/>
      <c r="J12" s="75"/>
      <c r="K12" s="75"/>
    </row>
    <row r="13" spans="1:13" ht="37.950000000000003" customHeight="1" x14ac:dyDescent="0.3">
      <c r="A13" s="73" t="s">
        <v>128</v>
      </c>
      <c r="B13" s="74">
        <v>5939</v>
      </c>
      <c r="C13" s="63" t="s">
        <v>53</v>
      </c>
      <c r="D13" s="72" t="s">
        <v>57</v>
      </c>
      <c r="E13" s="72" t="s">
        <v>83</v>
      </c>
      <c r="F13" s="72" t="s">
        <v>28</v>
      </c>
      <c r="G13" s="72" t="s">
        <v>28</v>
      </c>
      <c r="H13" s="72"/>
      <c r="I13" s="72"/>
      <c r="J13" s="76"/>
      <c r="K13" s="76"/>
      <c r="M13" s="23"/>
    </row>
  </sheetData>
  <mergeCells count="2">
    <mergeCell ref="A1:K1"/>
    <mergeCell ref="A2:K2"/>
  </mergeCells>
  <pageMargins left="0.16" right="0.16" top="0.14000000000000001" bottom="0.16" header="0.31496062992125984" footer="0.17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E6E0-86B0-4312-ACE1-B7E22C4E2DF1}">
  <dimension ref="A1:F73"/>
  <sheetViews>
    <sheetView topLeftCell="A59" zoomScaleNormal="100" workbookViewId="0">
      <selection activeCell="A69" sqref="A69:B70"/>
    </sheetView>
  </sheetViews>
  <sheetFormatPr defaultColWidth="8.88671875" defaultRowHeight="13.2" x14ac:dyDescent="0.25"/>
  <cols>
    <col min="1" max="1" width="17.33203125" style="37" customWidth="1"/>
    <col min="2" max="2" width="46.5546875" style="15" customWidth="1"/>
    <col min="3" max="4" width="10.109375" style="36" customWidth="1"/>
    <col min="5" max="5" width="19.6640625" style="36" customWidth="1"/>
    <col min="6" max="6" width="28" style="7" customWidth="1"/>
    <col min="7" max="16384" width="8.88671875" style="15"/>
  </cols>
  <sheetData>
    <row r="1" spans="1:6" ht="21" customHeight="1" x14ac:dyDescent="0.25">
      <c r="A1" s="159" t="s">
        <v>129</v>
      </c>
      <c r="B1" s="162"/>
      <c r="C1" s="162"/>
      <c r="D1" s="55"/>
      <c r="E1" s="44"/>
    </row>
    <row r="2" spans="1:6" ht="21" customHeight="1" x14ac:dyDescent="0.25">
      <c r="A2" s="56" t="s">
        <v>130</v>
      </c>
      <c r="B2" s="48"/>
      <c r="C2" s="17"/>
      <c r="D2" s="17"/>
      <c r="E2" s="17"/>
    </row>
    <row r="3" spans="1:6" s="9" customFormat="1" ht="21" customHeight="1" x14ac:dyDescent="0.3">
      <c r="A3" s="38" t="s">
        <v>2</v>
      </c>
      <c r="B3" s="19" t="s">
        <v>3</v>
      </c>
      <c r="C3" s="39" t="s">
        <v>4</v>
      </c>
      <c r="D3" s="18" t="s">
        <v>131</v>
      </c>
      <c r="E3" s="18" t="s">
        <v>132</v>
      </c>
    </row>
    <row r="4" spans="1:6" ht="21" customHeight="1" x14ac:dyDescent="0.25">
      <c r="A4" s="21"/>
      <c r="B4" s="40" t="s">
        <v>133</v>
      </c>
      <c r="C4" s="5">
        <v>4</v>
      </c>
      <c r="D4" s="5" t="s">
        <v>74</v>
      </c>
      <c r="E4" s="5" t="s">
        <v>134</v>
      </c>
    </row>
    <row r="5" spans="1:6" ht="21" customHeight="1" x14ac:dyDescent="0.25">
      <c r="A5" s="21" t="s">
        <v>135</v>
      </c>
      <c r="B5" s="40" t="s">
        <v>136</v>
      </c>
      <c r="C5" s="5">
        <v>4</v>
      </c>
      <c r="D5" s="5"/>
      <c r="E5" s="5" t="s">
        <v>137</v>
      </c>
    </row>
    <row r="6" spans="1:6" ht="21" customHeight="1" x14ac:dyDescent="0.25">
      <c r="A6" s="21" t="s">
        <v>138</v>
      </c>
      <c r="B6" s="40" t="s">
        <v>139</v>
      </c>
      <c r="C6" s="5">
        <v>4</v>
      </c>
      <c r="D6" s="5" t="s">
        <v>140</v>
      </c>
      <c r="E6" s="5" t="s">
        <v>140</v>
      </c>
    </row>
    <row r="7" spans="1:6" ht="21" customHeight="1" x14ac:dyDescent="0.25">
      <c r="A7" s="21"/>
      <c r="B7" s="40" t="s">
        <v>141</v>
      </c>
      <c r="C7" s="39">
        <v>2</v>
      </c>
      <c r="D7" s="39" t="s">
        <v>142</v>
      </c>
      <c r="E7" s="39" t="s">
        <v>142</v>
      </c>
      <c r="F7" s="7" t="s">
        <v>143</v>
      </c>
    </row>
    <row r="8" spans="1:6" ht="21" customHeight="1" x14ac:dyDescent="0.25">
      <c r="A8" s="38" t="s">
        <v>144</v>
      </c>
      <c r="B8" s="19" t="s">
        <v>145</v>
      </c>
      <c r="C8" s="17"/>
      <c r="D8" s="17"/>
      <c r="E8" s="17"/>
    </row>
    <row r="9" spans="1:6" ht="22.5" customHeight="1" x14ac:dyDescent="0.25">
      <c r="A9" s="21" t="s">
        <v>146</v>
      </c>
      <c r="B9" s="40" t="s">
        <v>147</v>
      </c>
      <c r="C9" s="5">
        <v>4</v>
      </c>
      <c r="D9" s="5"/>
      <c r="E9" s="5" t="s">
        <v>148</v>
      </c>
      <c r="F9" s="57" t="s">
        <v>149</v>
      </c>
    </row>
    <row r="10" spans="1:6" ht="31.5" customHeight="1" x14ac:dyDescent="0.25">
      <c r="A10" s="21" t="s">
        <v>150</v>
      </c>
      <c r="B10" s="40" t="s">
        <v>151</v>
      </c>
      <c r="C10" s="5">
        <v>4</v>
      </c>
      <c r="D10" s="5" t="s">
        <v>152</v>
      </c>
      <c r="E10" s="5" t="s">
        <v>153</v>
      </c>
      <c r="F10" s="57" t="s">
        <v>154</v>
      </c>
    </row>
    <row r="11" spans="1:6" ht="21" customHeight="1" x14ac:dyDescent="0.25">
      <c r="A11" s="21" t="s">
        <v>155</v>
      </c>
      <c r="B11" s="40" t="s">
        <v>156</v>
      </c>
      <c r="C11" s="5">
        <v>1</v>
      </c>
      <c r="D11" s="5"/>
      <c r="E11" s="5" t="s">
        <v>137</v>
      </c>
    </row>
    <row r="12" spans="1:6" ht="21" customHeight="1" x14ac:dyDescent="0.25">
      <c r="A12" s="21" t="s">
        <v>157</v>
      </c>
      <c r="B12" s="40" t="s">
        <v>158</v>
      </c>
      <c r="C12" s="5">
        <v>1</v>
      </c>
      <c r="D12" s="5"/>
      <c r="E12" s="5" t="s">
        <v>140</v>
      </c>
    </row>
    <row r="13" spans="1:6" ht="21" customHeight="1" x14ac:dyDescent="0.25">
      <c r="A13" s="21"/>
      <c r="B13" s="49" t="s">
        <v>31</v>
      </c>
      <c r="C13" s="50">
        <f>SUM(C4:C12)-4</f>
        <v>20</v>
      </c>
      <c r="D13" s="50"/>
      <c r="E13" s="50"/>
    </row>
    <row r="14" spans="1:6" ht="21" customHeight="1" x14ac:dyDescent="0.25">
      <c r="A14" s="38" t="s">
        <v>159</v>
      </c>
      <c r="B14" s="48"/>
      <c r="C14" s="17"/>
      <c r="D14" s="17"/>
      <c r="E14" s="17"/>
    </row>
    <row r="15" spans="1:6" ht="21" customHeight="1" x14ac:dyDescent="0.25">
      <c r="A15" s="38" t="s">
        <v>2</v>
      </c>
      <c r="B15" s="19" t="s">
        <v>3</v>
      </c>
      <c r="C15" s="39" t="s">
        <v>4</v>
      </c>
      <c r="D15" s="39"/>
      <c r="E15" s="39"/>
    </row>
    <row r="16" spans="1:6" ht="21" customHeight="1" x14ac:dyDescent="0.25">
      <c r="A16" s="21"/>
      <c r="B16" s="40" t="s">
        <v>160</v>
      </c>
      <c r="C16" s="5">
        <v>4</v>
      </c>
      <c r="D16" s="5" t="s">
        <v>134</v>
      </c>
      <c r="E16" s="5" t="s">
        <v>134</v>
      </c>
    </row>
    <row r="17" spans="1:6" ht="21" customHeight="1" x14ac:dyDescent="0.25">
      <c r="A17" s="21" t="s">
        <v>161</v>
      </c>
      <c r="B17" s="40" t="s">
        <v>162</v>
      </c>
      <c r="C17" s="5">
        <v>4</v>
      </c>
      <c r="D17" s="5" t="s">
        <v>163</v>
      </c>
      <c r="E17" s="5" t="s">
        <v>163</v>
      </c>
    </row>
    <row r="18" spans="1:6" ht="21" customHeight="1" x14ac:dyDescent="0.25">
      <c r="A18" s="21" t="s">
        <v>164</v>
      </c>
      <c r="B18" s="40" t="s">
        <v>165</v>
      </c>
      <c r="C18" s="5">
        <v>4</v>
      </c>
      <c r="D18" s="5" t="s">
        <v>152</v>
      </c>
      <c r="E18" s="5" t="s">
        <v>153</v>
      </c>
    </row>
    <row r="19" spans="1:6" ht="21" customHeight="1" x14ac:dyDescent="0.25">
      <c r="A19" s="21" t="s">
        <v>166</v>
      </c>
      <c r="B19" s="40" t="s">
        <v>167</v>
      </c>
      <c r="C19" s="5">
        <v>2</v>
      </c>
      <c r="D19" s="5" t="s">
        <v>142</v>
      </c>
      <c r="E19" s="5" t="s">
        <v>142</v>
      </c>
      <c r="F19" s="7" t="s">
        <v>143</v>
      </c>
    </row>
    <row r="20" spans="1:6" ht="21" customHeight="1" x14ac:dyDescent="0.25">
      <c r="A20" s="38" t="s">
        <v>144</v>
      </c>
      <c r="B20" s="19" t="s">
        <v>168</v>
      </c>
      <c r="C20" s="39"/>
      <c r="D20" s="39"/>
      <c r="E20" s="39"/>
    </row>
    <row r="21" spans="1:6" ht="23.25" customHeight="1" x14ac:dyDescent="0.25">
      <c r="A21" s="21" t="s">
        <v>169</v>
      </c>
      <c r="B21" s="40" t="s">
        <v>170</v>
      </c>
      <c r="C21" s="5">
        <v>4</v>
      </c>
      <c r="D21" s="5" t="s">
        <v>171</v>
      </c>
      <c r="E21" s="5" t="s">
        <v>171</v>
      </c>
      <c r="F21" s="57" t="s">
        <v>149</v>
      </c>
    </row>
    <row r="22" spans="1:6" ht="23.25" customHeight="1" x14ac:dyDescent="0.25">
      <c r="A22" s="21" t="s">
        <v>172</v>
      </c>
      <c r="B22" s="40" t="s">
        <v>173</v>
      </c>
      <c r="C22" s="5">
        <v>4</v>
      </c>
      <c r="D22" s="5" t="s">
        <v>174</v>
      </c>
      <c r="E22" s="5" t="s">
        <v>140</v>
      </c>
      <c r="F22" s="57" t="s">
        <v>154</v>
      </c>
    </row>
    <row r="23" spans="1:6" ht="21" customHeight="1" x14ac:dyDescent="0.25">
      <c r="A23" s="21" t="s">
        <v>175</v>
      </c>
      <c r="B23" s="40" t="s">
        <v>176</v>
      </c>
      <c r="C23" s="5">
        <v>1</v>
      </c>
      <c r="D23" s="5"/>
      <c r="E23" s="5" t="s">
        <v>163</v>
      </c>
    </row>
    <row r="24" spans="1:6" ht="21" customHeight="1" x14ac:dyDescent="0.25">
      <c r="A24" s="21" t="s">
        <v>177</v>
      </c>
      <c r="B24" s="40" t="s">
        <v>178</v>
      </c>
      <c r="C24" s="5">
        <v>1</v>
      </c>
      <c r="D24" s="5"/>
      <c r="E24" s="5" t="s">
        <v>153</v>
      </c>
    </row>
    <row r="25" spans="1:6" ht="21" customHeight="1" x14ac:dyDescent="0.25">
      <c r="A25" s="51"/>
      <c r="B25" s="49" t="s">
        <v>31</v>
      </c>
      <c r="C25" s="50">
        <f>SUM(C16:C24) -4</f>
        <v>20</v>
      </c>
      <c r="D25" s="50"/>
      <c r="E25" s="50"/>
    </row>
    <row r="26" spans="1:6" ht="21" customHeight="1" x14ac:dyDescent="0.25">
      <c r="A26" s="38" t="s">
        <v>179</v>
      </c>
      <c r="B26" s="48"/>
      <c r="C26" s="17"/>
      <c r="D26" s="17"/>
      <c r="E26" s="17"/>
    </row>
    <row r="27" spans="1:6" ht="21" customHeight="1" x14ac:dyDescent="0.25">
      <c r="A27" s="38" t="s">
        <v>2</v>
      </c>
      <c r="B27" s="19" t="s">
        <v>3</v>
      </c>
      <c r="C27" s="39" t="s">
        <v>4</v>
      </c>
      <c r="D27" s="39"/>
      <c r="E27" s="39"/>
    </row>
    <row r="28" spans="1:6" ht="21" customHeight="1" x14ac:dyDescent="0.25">
      <c r="A28" s="21" t="s">
        <v>180</v>
      </c>
      <c r="B28" s="40" t="s">
        <v>181</v>
      </c>
      <c r="C28" s="5">
        <v>4</v>
      </c>
      <c r="D28" s="5" t="s">
        <v>182</v>
      </c>
      <c r="E28" s="5" t="s">
        <v>183</v>
      </c>
    </row>
    <row r="29" spans="1:6" ht="21" customHeight="1" x14ac:dyDescent="0.25">
      <c r="A29" s="21" t="s">
        <v>184</v>
      </c>
      <c r="B29" s="40" t="s">
        <v>185</v>
      </c>
      <c r="C29" s="5">
        <v>4</v>
      </c>
      <c r="D29" s="5" t="s">
        <v>186</v>
      </c>
      <c r="E29" s="5" t="s">
        <v>148</v>
      </c>
      <c r="F29" s="43" t="s">
        <v>187</v>
      </c>
    </row>
    <row r="30" spans="1:6" ht="21" customHeight="1" x14ac:dyDescent="0.25">
      <c r="A30" s="21" t="s">
        <v>188</v>
      </c>
      <c r="B30" s="40" t="s">
        <v>189</v>
      </c>
      <c r="C30" s="5">
        <v>4</v>
      </c>
      <c r="D30" s="5" t="s">
        <v>190</v>
      </c>
      <c r="E30" s="5" t="s">
        <v>190</v>
      </c>
    </row>
    <row r="31" spans="1:6" ht="21" customHeight="1" x14ac:dyDescent="0.25">
      <c r="A31" s="38" t="s">
        <v>191</v>
      </c>
      <c r="B31" s="58" t="s">
        <v>192</v>
      </c>
      <c r="C31" s="5"/>
      <c r="D31" s="5"/>
      <c r="E31" s="5"/>
    </row>
    <row r="32" spans="1:6" ht="21" customHeight="1" x14ac:dyDescent="0.25">
      <c r="A32" s="21" t="s">
        <v>193</v>
      </c>
      <c r="B32" s="40" t="s">
        <v>194</v>
      </c>
      <c r="C32" s="5">
        <v>4</v>
      </c>
      <c r="D32" s="5"/>
      <c r="E32" s="5" t="s">
        <v>137</v>
      </c>
    </row>
    <row r="33" spans="1:6" ht="21" customHeight="1" x14ac:dyDescent="0.25">
      <c r="A33" s="38" t="s">
        <v>191</v>
      </c>
      <c r="B33" s="19" t="s">
        <v>195</v>
      </c>
      <c r="C33" s="5"/>
      <c r="D33" s="5"/>
      <c r="E33" s="5"/>
    </row>
    <row r="34" spans="1:6" ht="21" customHeight="1" x14ac:dyDescent="0.25">
      <c r="A34" s="21" t="s">
        <v>196</v>
      </c>
      <c r="B34" s="40" t="s">
        <v>197</v>
      </c>
      <c r="C34" s="5">
        <v>4</v>
      </c>
      <c r="D34" s="5"/>
      <c r="E34" s="5" t="s">
        <v>186</v>
      </c>
    </row>
    <row r="35" spans="1:6" ht="21" customHeight="1" x14ac:dyDescent="0.25">
      <c r="A35" s="21" t="s">
        <v>198</v>
      </c>
      <c r="B35" s="40" t="s">
        <v>199</v>
      </c>
      <c r="C35" s="5">
        <v>4</v>
      </c>
      <c r="D35" s="5" t="s">
        <v>200</v>
      </c>
      <c r="E35" s="5" t="s">
        <v>201</v>
      </c>
    </row>
    <row r="36" spans="1:6" ht="21" customHeight="1" x14ac:dyDescent="0.25">
      <c r="A36" s="21" t="s">
        <v>202</v>
      </c>
      <c r="B36" s="40" t="s">
        <v>203</v>
      </c>
      <c r="C36" s="5">
        <v>1</v>
      </c>
      <c r="D36" s="5"/>
      <c r="E36" s="5" t="s">
        <v>183</v>
      </c>
    </row>
    <row r="37" spans="1:6" ht="21" customHeight="1" x14ac:dyDescent="0.25">
      <c r="A37" s="21" t="s">
        <v>204</v>
      </c>
      <c r="B37" s="40" t="s">
        <v>205</v>
      </c>
      <c r="C37" s="5">
        <v>1</v>
      </c>
      <c r="D37" s="5"/>
      <c r="E37" s="5" t="s">
        <v>190</v>
      </c>
    </row>
    <row r="38" spans="1:6" ht="21" customHeight="1" x14ac:dyDescent="0.25">
      <c r="A38" s="51"/>
      <c r="B38" s="49" t="s">
        <v>31</v>
      </c>
      <c r="C38" s="50">
        <f>SUM(C28:C37)-4</f>
        <v>22</v>
      </c>
      <c r="D38" s="50"/>
      <c r="E38" s="50"/>
    </row>
    <row r="39" spans="1:6" ht="21" customHeight="1" x14ac:dyDescent="0.25">
      <c r="A39" s="51"/>
      <c r="B39" s="48"/>
      <c r="C39" s="17"/>
      <c r="D39" s="17"/>
      <c r="E39" s="17"/>
    </row>
    <row r="40" spans="1:6" ht="21" customHeight="1" x14ac:dyDescent="0.25">
      <c r="A40" s="47" t="s">
        <v>206</v>
      </c>
      <c r="B40" s="48"/>
      <c r="C40" s="17"/>
      <c r="D40" s="17"/>
      <c r="E40" s="17"/>
    </row>
    <row r="41" spans="1:6" ht="21" customHeight="1" x14ac:dyDescent="0.25">
      <c r="A41" s="38" t="s">
        <v>2</v>
      </c>
      <c r="B41" s="19" t="s">
        <v>3</v>
      </c>
      <c r="C41" s="39" t="s">
        <v>4</v>
      </c>
      <c r="D41" s="39"/>
      <c r="E41" s="39"/>
    </row>
    <row r="42" spans="1:6" ht="21" customHeight="1" x14ac:dyDescent="0.25">
      <c r="A42" s="40" t="s">
        <v>207</v>
      </c>
      <c r="B42" s="40" t="s">
        <v>208</v>
      </c>
      <c r="C42" s="5">
        <v>3</v>
      </c>
      <c r="D42" s="5" t="s">
        <v>134</v>
      </c>
      <c r="E42" s="5" t="s">
        <v>134</v>
      </c>
    </row>
    <row r="43" spans="1:6" ht="32.25" customHeight="1" x14ac:dyDescent="0.25">
      <c r="A43" s="40" t="s">
        <v>209</v>
      </c>
      <c r="B43" s="40" t="s">
        <v>210</v>
      </c>
      <c r="C43" s="5">
        <v>3</v>
      </c>
      <c r="D43" s="5" t="s">
        <v>186</v>
      </c>
      <c r="E43" s="5" t="s">
        <v>186</v>
      </c>
      <c r="F43" s="43" t="s">
        <v>187</v>
      </c>
    </row>
    <row r="44" spans="1:6" ht="21" customHeight="1" x14ac:dyDescent="0.25">
      <c r="A44" s="40" t="s">
        <v>211</v>
      </c>
      <c r="B44" s="40" t="s">
        <v>212</v>
      </c>
      <c r="C44" s="5">
        <v>3</v>
      </c>
      <c r="D44" s="5"/>
      <c r="E44" s="5" t="s">
        <v>148</v>
      </c>
    </row>
    <row r="45" spans="1:6" ht="21" customHeight="1" x14ac:dyDescent="0.25">
      <c r="A45" s="40" t="s">
        <v>213</v>
      </c>
      <c r="B45" s="40" t="s">
        <v>181</v>
      </c>
      <c r="C45" s="5">
        <v>3</v>
      </c>
      <c r="D45" s="5" t="s">
        <v>214</v>
      </c>
      <c r="E45" s="5" t="s">
        <v>214</v>
      </c>
    </row>
    <row r="46" spans="1:6" ht="21" customHeight="1" x14ac:dyDescent="0.25">
      <c r="A46" s="40" t="s">
        <v>215</v>
      </c>
      <c r="B46" s="40" t="s">
        <v>216</v>
      </c>
      <c r="C46" s="5">
        <v>3</v>
      </c>
      <c r="D46" s="5" t="s">
        <v>190</v>
      </c>
      <c r="E46" s="5" t="s">
        <v>190</v>
      </c>
    </row>
    <row r="47" spans="1:6" ht="21" customHeight="1" x14ac:dyDescent="0.25">
      <c r="A47" s="40" t="s">
        <v>217</v>
      </c>
      <c r="B47" s="40" t="s">
        <v>218</v>
      </c>
      <c r="C47" s="5">
        <v>3</v>
      </c>
      <c r="D47" s="5" t="s">
        <v>142</v>
      </c>
      <c r="E47" s="5" t="s">
        <v>142</v>
      </c>
      <c r="F47" s="7" t="s">
        <v>143</v>
      </c>
    </row>
    <row r="48" spans="1:6" ht="21" customHeight="1" x14ac:dyDescent="0.25">
      <c r="A48" s="40" t="s">
        <v>219</v>
      </c>
      <c r="B48" s="40" t="s">
        <v>203</v>
      </c>
      <c r="C48" s="5">
        <v>1</v>
      </c>
      <c r="D48" s="5"/>
      <c r="E48" s="5" t="s">
        <v>214</v>
      </c>
    </row>
    <row r="49" spans="1:6" ht="21" customHeight="1" x14ac:dyDescent="0.25">
      <c r="A49" s="40" t="s">
        <v>220</v>
      </c>
      <c r="B49" s="40" t="s">
        <v>49</v>
      </c>
      <c r="C49" s="5">
        <v>1</v>
      </c>
      <c r="D49" s="5"/>
      <c r="E49" s="5" t="s">
        <v>190</v>
      </c>
    </row>
    <row r="50" spans="1:6" ht="21" customHeight="1" x14ac:dyDescent="0.25">
      <c r="A50" s="40" t="s">
        <v>221</v>
      </c>
      <c r="B50" s="40" t="s">
        <v>25</v>
      </c>
      <c r="C50" s="5">
        <v>1</v>
      </c>
      <c r="D50" s="5"/>
      <c r="E50" s="5" t="s">
        <v>148</v>
      </c>
    </row>
    <row r="51" spans="1:6" ht="21" customHeight="1" x14ac:dyDescent="0.25">
      <c r="A51" s="51"/>
      <c r="B51" s="49" t="s">
        <v>31</v>
      </c>
      <c r="C51" s="18">
        <f>SUM(C42:C50)</f>
        <v>21</v>
      </c>
      <c r="D51" s="18"/>
      <c r="E51" s="18"/>
    </row>
    <row r="52" spans="1:6" ht="21" customHeight="1" x14ac:dyDescent="0.25">
      <c r="A52" s="47" t="s">
        <v>222</v>
      </c>
      <c r="B52" s="48"/>
      <c r="C52" s="17"/>
      <c r="D52" s="17"/>
      <c r="E52" s="17"/>
    </row>
    <row r="53" spans="1:6" ht="21" customHeight="1" x14ac:dyDescent="0.25">
      <c r="A53" s="38" t="s">
        <v>2</v>
      </c>
      <c r="B53" s="19" t="s">
        <v>3</v>
      </c>
      <c r="C53" s="39" t="s">
        <v>4</v>
      </c>
      <c r="D53" s="39"/>
      <c r="E53" s="39"/>
    </row>
    <row r="54" spans="1:6" ht="27.75" customHeight="1" x14ac:dyDescent="0.25">
      <c r="A54" s="40" t="s">
        <v>223</v>
      </c>
      <c r="B54" s="40" t="s">
        <v>224</v>
      </c>
      <c r="C54" s="5">
        <v>3</v>
      </c>
      <c r="D54" s="5" t="s">
        <v>134</v>
      </c>
      <c r="E54" s="5" t="s">
        <v>134</v>
      </c>
    </row>
    <row r="55" spans="1:6" ht="17.25" customHeight="1" x14ac:dyDescent="0.25">
      <c r="A55" s="40" t="s">
        <v>225</v>
      </c>
      <c r="B55" s="40" t="s">
        <v>226</v>
      </c>
      <c r="C55" s="5">
        <v>3</v>
      </c>
      <c r="D55" s="5" t="s">
        <v>227</v>
      </c>
      <c r="E55" s="5" t="s">
        <v>228</v>
      </c>
    </row>
    <row r="56" spans="1:6" ht="33" customHeight="1" x14ac:dyDescent="0.25">
      <c r="A56" s="40" t="s">
        <v>229</v>
      </c>
      <c r="B56" s="40" t="s">
        <v>230</v>
      </c>
      <c r="C56" s="5">
        <v>3</v>
      </c>
      <c r="D56" s="5" t="s">
        <v>183</v>
      </c>
      <c r="E56" s="5" t="s">
        <v>183</v>
      </c>
    </row>
    <row r="57" spans="1:6" s="16" customFormat="1" ht="21" customHeight="1" x14ac:dyDescent="0.25">
      <c r="A57" s="19" t="s">
        <v>231</v>
      </c>
      <c r="B57" s="19" t="s">
        <v>232</v>
      </c>
      <c r="C57" s="39"/>
      <c r="D57" s="39"/>
      <c r="E57" s="39"/>
      <c r="F57" s="9"/>
    </row>
    <row r="58" spans="1:6" ht="21" customHeight="1" x14ac:dyDescent="0.25">
      <c r="A58" s="40" t="s">
        <v>233</v>
      </c>
      <c r="B58" s="40" t="s">
        <v>234</v>
      </c>
      <c r="C58" s="5">
        <v>3</v>
      </c>
      <c r="D58" s="5" t="s">
        <v>171</v>
      </c>
      <c r="E58" s="5" t="s">
        <v>171</v>
      </c>
    </row>
    <row r="59" spans="1:6" ht="21" customHeight="1" x14ac:dyDescent="0.25">
      <c r="A59" s="40" t="s">
        <v>235</v>
      </c>
      <c r="B59" s="40" t="s">
        <v>236</v>
      </c>
      <c r="C59" s="5">
        <v>3</v>
      </c>
      <c r="D59" s="5" t="s">
        <v>237</v>
      </c>
      <c r="E59" s="5" t="s">
        <v>163</v>
      </c>
    </row>
    <row r="60" spans="1:6" s="16" customFormat="1" ht="21" customHeight="1" x14ac:dyDescent="0.25">
      <c r="A60" s="19" t="s">
        <v>231</v>
      </c>
      <c r="B60" s="19" t="s">
        <v>238</v>
      </c>
      <c r="C60" s="39"/>
      <c r="D60" s="39"/>
      <c r="E60" s="39"/>
      <c r="F60" s="9"/>
    </row>
    <row r="61" spans="1:6" ht="21" customHeight="1" x14ac:dyDescent="0.25">
      <c r="A61" s="40" t="s">
        <v>239</v>
      </c>
      <c r="B61" s="40" t="s">
        <v>240</v>
      </c>
      <c r="C61" s="5">
        <v>3</v>
      </c>
      <c r="D61" s="5"/>
      <c r="E61" s="5" t="s">
        <v>201</v>
      </c>
    </row>
    <row r="62" spans="1:6" ht="21" customHeight="1" x14ac:dyDescent="0.25">
      <c r="A62" s="40" t="s">
        <v>241</v>
      </c>
      <c r="B62" s="40" t="s">
        <v>242</v>
      </c>
      <c r="C62" s="5">
        <v>3</v>
      </c>
      <c r="D62" s="5" t="s">
        <v>243</v>
      </c>
      <c r="E62" s="5" t="s">
        <v>214</v>
      </c>
    </row>
    <row r="63" spans="1:6" ht="21" customHeight="1" x14ac:dyDescent="0.25">
      <c r="A63" s="40" t="s">
        <v>244</v>
      </c>
      <c r="B63" s="40" t="s">
        <v>245</v>
      </c>
      <c r="C63" s="5">
        <v>1</v>
      </c>
      <c r="D63" s="5"/>
      <c r="E63" s="5" t="s">
        <v>183</v>
      </c>
    </row>
    <row r="64" spans="1:6" ht="21" customHeight="1" x14ac:dyDescent="0.25">
      <c r="A64" s="40" t="s">
        <v>246</v>
      </c>
      <c r="B64" s="40" t="s">
        <v>247</v>
      </c>
      <c r="C64" s="5">
        <v>1</v>
      </c>
      <c r="D64" s="5"/>
      <c r="E64" s="5" t="s">
        <v>228</v>
      </c>
    </row>
    <row r="65" spans="1:6" ht="21" customHeight="1" x14ac:dyDescent="0.25">
      <c r="A65" s="40" t="s">
        <v>248</v>
      </c>
      <c r="B65" s="40" t="s">
        <v>70</v>
      </c>
      <c r="C65" s="5">
        <v>6</v>
      </c>
      <c r="D65" s="5"/>
      <c r="E65" s="5"/>
    </row>
    <row r="66" spans="1:6" ht="21" customHeight="1" x14ac:dyDescent="0.25">
      <c r="A66" s="40" t="s">
        <v>249</v>
      </c>
      <c r="B66" s="40" t="s">
        <v>250</v>
      </c>
      <c r="C66" s="5">
        <v>1</v>
      </c>
      <c r="D66" s="5"/>
      <c r="E66" s="5"/>
    </row>
    <row r="67" spans="1:6" ht="18" customHeight="1" x14ac:dyDescent="0.25">
      <c r="A67" s="51"/>
      <c r="B67" s="52" t="s">
        <v>251</v>
      </c>
      <c r="C67" s="50">
        <f>SUM(C54:C66) - 6</f>
        <v>24</v>
      </c>
      <c r="D67" s="50"/>
      <c r="E67" s="50"/>
    </row>
    <row r="68" spans="1:6" ht="18" customHeight="1" x14ac:dyDescent="0.25">
      <c r="A68" s="53" t="s">
        <v>252</v>
      </c>
      <c r="B68" s="54"/>
      <c r="C68" s="17"/>
      <c r="D68" s="17"/>
      <c r="E68" s="17"/>
    </row>
    <row r="69" spans="1:6" ht="21" customHeight="1" x14ac:dyDescent="0.25">
      <c r="A69" s="40" t="s">
        <v>253</v>
      </c>
      <c r="B69" s="40" t="s">
        <v>254</v>
      </c>
      <c r="C69" s="5">
        <v>3</v>
      </c>
      <c r="D69" s="5" t="s">
        <v>255</v>
      </c>
      <c r="E69" s="5" t="s">
        <v>255</v>
      </c>
      <c r="F69" s="45" t="s">
        <v>256</v>
      </c>
    </row>
    <row r="70" spans="1:6" ht="21" customHeight="1" x14ac:dyDescent="0.25">
      <c r="A70" s="40" t="s">
        <v>257</v>
      </c>
      <c r="B70" s="40" t="s">
        <v>258</v>
      </c>
      <c r="C70" s="5">
        <v>1</v>
      </c>
      <c r="D70" s="5" t="s">
        <v>255</v>
      </c>
      <c r="E70" s="5" t="s">
        <v>255</v>
      </c>
      <c r="F70" s="46" t="s">
        <v>256</v>
      </c>
    </row>
    <row r="71" spans="1:6" ht="21" customHeight="1" x14ac:dyDescent="0.25">
      <c r="A71" s="40" t="s">
        <v>259</v>
      </c>
      <c r="B71" s="40" t="s">
        <v>260</v>
      </c>
      <c r="C71" s="5">
        <v>3</v>
      </c>
      <c r="D71" s="5"/>
      <c r="E71" s="5" t="s">
        <v>153</v>
      </c>
      <c r="F71" s="46"/>
    </row>
    <row r="72" spans="1:6" ht="81.75" customHeight="1" x14ac:dyDescent="0.25"/>
    <row r="73" spans="1:6" ht="15" x14ac:dyDescent="0.25">
      <c r="A73" s="42" t="s">
        <v>261</v>
      </c>
    </row>
  </sheetData>
  <autoFilter ref="E1:E73" xr:uid="{74B2E6E0-86B0-4312-ACE1-B7E22C4E2DF1}"/>
  <mergeCells count="1">
    <mergeCell ref="A1:C1"/>
  </mergeCells>
  <pageMargins left="0.70866141732283472" right="0.15748031496062992" top="0.35433070866141736" bottom="0.23622047244094491" header="0.59055118110236227" footer="0.15748031496062992"/>
  <pageSetup scale="9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D976-B702-4A6F-AF71-ECED00A827C2}">
  <dimension ref="A1:L119"/>
  <sheetViews>
    <sheetView tabSelected="1" zoomScaleNormal="100" workbookViewId="0">
      <selection activeCell="B115" sqref="B115:E115"/>
    </sheetView>
  </sheetViews>
  <sheetFormatPr defaultColWidth="8.77734375" defaultRowHeight="13.8" x14ac:dyDescent="0.3"/>
  <cols>
    <col min="1" max="1" width="13" style="99" customWidth="1"/>
    <col min="2" max="5" width="17.88671875" style="99" customWidth="1"/>
    <col min="6" max="6" width="5.109375" style="99" customWidth="1"/>
    <col min="7" max="9" width="17.88671875" style="99" customWidth="1"/>
    <col min="10" max="16384" width="8.77734375" style="99"/>
  </cols>
  <sheetData>
    <row r="1" spans="1:9" x14ac:dyDescent="0.3">
      <c r="A1" s="125" t="s">
        <v>363</v>
      </c>
      <c r="B1" s="125"/>
      <c r="C1" s="125"/>
      <c r="D1" s="125"/>
      <c r="E1" s="125"/>
      <c r="F1" s="125"/>
      <c r="G1" s="125"/>
      <c r="H1" s="125"/>
      <c r="I1" s="125"/>
    </row>
    <row r="2" spans="1:9" x14ac:dyDescent="0.3">
      <c r="A2" s="125" t="s">
        <v>388</v>
      </c>
      <c r="B2" s="125"/>
      <c r="C2" s="125"/>
      <c r="D2" s="125"/>
      <c r="E2" s="125"/>
      <c r="F2" s="125"/>
      <c r="G2" s="125"/>
      <c r="H2" s="125"/>
      <c r="I2" s="125"/>
    </row>
    <row r="3" spans="1:9" s="102" customFormat="1" ht="14.4" customHeight="1" x14ac:dyDescent="0.3">
      <c r="A3" s="125" t="s">
        <v>396</v>
      </c>
      <c r="B3" s="125"/>
      <c r="C3" s="125"/>
      <c r="D3" s="125"/>
      <c r="E3" s="125"/>
      <c r="F3" s="125"/>
      <c r="G3" s="125"/>
      <c r="H3" s="125"/>
      <c r="I3" s="125"/>
    </row>
    <row r="4" spans="1:9" x14ac:dyDescent="0.3">
      <c r="A4" s="102" t="s">
        <v>332</v>
      </c>
      <c r="I4" s="102" t="s">
        <v>384</v>
      </c>
    </row>
    <row r="5" spans="1:9" s="102" customFormat="1" ht="22.2" customHeight="1" x14ac:dyDescent="0.3">
      <c r="A5" s="100" t="s">
        <v>324</v>
      </c>
      <c r="B5" s="101" t="s">
        <v>374</v>
      </c>
      <c r="C5" s="101" t="s">
        <v>375</v>
      </c>
      <c r="D5" s="101" t="s">
        <v>376</v>
      </c>
      <c r="E5" s="100" t="s">
        <v>377</v>
      </c>
      <c r="F5" s="155" t="s">
        <v>325</v>
      </c>
      <c r="G5" s="101" t="s">
        <v>378</v>
      </c>
      <c r="H5" s="100" t="s">
        <v>379</v>
      </c>
      <c r="I5" s="100" t="s">
        <v>380</v>
      </c>
    </row>
    <row r="6" spans="1:9" ht="24" customHeight="1" x14ac:dyDescent="0.3">
      <c r="A6" s="103" t="s">
        <v>326</v>
      </c>
      <c r="B6" s="137" t="s">
        <v>390</v>
      </c>
      <c r="C6" s="138"/>
      <c r="D6" s="137" t="s">
        <v>392</v>
      </c>
      <c r="E6" s="138"/>
      <c r="F6" s="156"/>
      <c r="G6" s="65" t="s">
        <v>6</v>
      </c>
      <c r="H6" s="65" t="s">
        <v>11</v>
      </c>
      <c r="I6" s="65" t="s">
        <v>9</v>
      </c>
    </row>
    <row r="7" spans="1:9" ht="24" customHeight="1" x14ac:dyDescent="0.3">
      <c r="A7" s="103" t="s">
        <v>327</v>
      </c>
      <c r="B7" s="158" t="s">
        <v>391</v>
      </c>
      <c r="C7" s="158"/>
      <c r="D7" s="158" t="s">
        <v>393</v>
      </c>
      <c r="E7" s="158"/>
      <c r="F7" s="156"/>
      <c r="H7" s="65" t="s">
        <v>6</v>
      </c>
      <c r="I7" s="65" t="s">
        <v>336</v>
      </c>
    </row>
    <row r="8" spans="1:9" ht="24" customHeight="1" x14ac:dyDescent="0.3">
      <c r="A8" s="103" t="s">
        <v>328</v>
      </c>
      <c r="B8" s="65"/>
      <c r="C8" s="124" t="s">
        <v>338</v>
      </c>
      <c r="D8" s="65"/>
      <c r="E8" s="65" t="s">
        <v>336</v>
      </c>
      <c r="F8" s="156"/>
      <c r="G8" s="65" t="s">
        <v>6</v>
      </c>
      <c r="H8" s="65" t="s">
        <v>11</v>
      </c>
      <c r="I8" s="65" t="s">
        <v>270</v>
      </c>
    </row>
    <row r="9" spans="1:9" ht="24" customHeight="1" x14ac:dyDescent="0.3">
      <c r="A9" s="103" t="s">
        <v>329</v>
      </c>
      <c r="B9" s="103"/>
      <c r="C9" s="103"/>
      <c r="D9" s="65"/>
      <c r="E9" s="65" t="s">
        <v>11</v>
      </c>
      <c r="F9" s="156"/>
      <c r="H9" s="65" t="s">
        <v>336</v>
      </c>
      <c r="I9" s="65" t="s">
        <v>9</v>
      </c>
    </row>
    <row r="10" spans="1:9" ht="24" customHeight="1" x14ac:dyDescent="0.3">
      <c r="A10" s="103" t="s">
        <v>330</v>
      </c>
      <c r="B10" s="65"/>
      <c r="C10" s="65" t="s">
        <v>11</v>
      </c>
      <c r="D10" s="65"/>
      <c r="E10" s="65" t="s">
        <v>6</v>
      </c>
      <c r="F10" s="156"/>
      <c r="G10" s="65" t="s">
        <v>9</v>
      </c>
      <c r="H10" s="65" t="s">
        <v>336</v>
      </c>
      <c r="I10" s="65"/>
    </row>
    <row r="11" spans="1:9" ht="24" customHeight="1" x14ac:dyDescent="0.3">
      <c r="A11" s="103" t="s">
        <v>331</v>
      </c>
      <c r="B11" s="103" t="s">
        <v>339</v>
      </c>
      <c r="C11" s="103" t="s">
        <v>339</v>
      </c>
      <c r="D11" s="103" t="s">
        <v>339</v>
      </c>
      <c r="E11" s="103" t="s">
        <v>339</v>
      </c>
      <c r="F11" s="157"/>
      <c r="G11" s="103"/>
      <c r="H11" s="103"/>
      <c r="I11" s="103"/>
    </row>
    <row r="14" spans="1:9" s="7" customFormat="1" ht="24" customHeight="1" x14ac:dyDescent="0.3">
      <c r="A14" s="19" t="s">
        <v>381</v>
      </c>
      <c r="B14" s="152" t="s">
        <v>382</v>
      </c>
      <c r="C14" s="153"/>
      <c r="D14" s="153"/>
      <c r="E14" s="154"/>
      <c r="F14" s="123"/>
      <c r="G14" s="149" t="s">
        <v>383</v>
      </c>
      <c r="H14" s="150"/>
      <c r="I14" s="151"/>
    </row>
    <row r="15" spans="1:9" ht="15.6" customHeight="1" x14ac:dyDescent="0.3">
      <c r="A15" s="65" t="s">
        <v>6</v>
      </c>
      <c r="B15" s="142" t="s">
        <v>7</v>
      </c>
      <c r="C15" s="143"/>
      <c r="D15" s="143"/>
      <c r="E15" s="144"/>
      <c r="F15" s="104"/>
      <c r="G15" s="148" t="s">
        <v>402</v>
      </c>
      <c r="H15" s="148" t="s">
        <v>134</v>
      </c>
      <c r="I15" s="148"/>
    </row>
    <row r="16" spans="1:9" ht="15.6" customHeight="1" x14ac:dyDescent="0.3">
      <c r="A16" s="65" t="s">
        <v>9</v>
      </c>
      <c r="B16" s="142" t="s">
        <v>10</v>
      </c>
      <c r="C16" s="143">
        <v>4</v>
      </c>
      <c r="D16" s="143"/>
      <c r="E16" s="144" t="s">
        <v>171</v>
      </c>
      <c r="F16" s="104"/>
      <c r="G16" s="148" t="s">
        <v>335</v>
      </c>
      <c r="H16" s="148" t="s">
        <v>171</v>
      </c>
      <c r="I16" s="148"/>
    </row>
    <row r="17" spans="1:9" ht="15.6" customHeight="1" x14ac:dyDescent="0.3">
      <c r="A17" s="65" t="s">
        <v>11</v>
      </c>
      <c r="B17" s="142" t="s">
        <v>12</v>
      </c>
      <c r="C17" s="143">
        <v>4</v>
      </c>
      <c r="D17" s="143"/>
      <c r="E17" s="144" t="s">
        <v>152</v>
      </c>
      <c r="F17" s="104"/>
      <c r="G17" s="148" t="s">
        <v>119</v>
      </c>
      <c r="H17" s="148" t="s">
        <v>152</v>
      </c>
      <c r="I17" s="148"/>
    </row>
    <row r="18" spans="1:9" ht="15.6" customHeight="1" x14ac:dyDescent="0.3">
      <c r="A18" s="65" t="s">
        <v>13</v>
      </c>
      <c r="B18" s="142" t="s">
        <v>340</v>
      </c>
      <c r="C18" s="143"/>
      <c r="D18" s="143"/>
      <c r="E18" s="144"/>
      <c r="F18" s="104"/>
      <c r="G18" s="148" t="s">
        <v>343</v>
      </c>
      <c r="H18" s="148" t="s">
        <v>183</v>
      </c>
      <c r="I18" s="148"/>
    </row>
    <row r="19" spans="1:9" ht="15.6" customHeight="1" x14ac:dyDescent="0.3">
      <c r="A19" s="65" t="s">
        <v>125</v>
      </c>
      <c r="B19" s="142" t="s">
        <v>19</v>
      </c>
      <c r="C19" s="143">
        <v>4</v>
      </c>
      <c r="D19" s="143"/>
      <c r="E19" s="144" t="s">
        <v>321</v>
      </c>
      <c r="F19" s="104"/>
      <c r="G19" s="148" t="s">
        <v>343</v>
      </c>
      <c r="H19" s="148" t="s">
        <v>183</v>
      </c>
      <c r="I19" s="148"/>
    </row>
    <row r="20" spans="1:9" ht="15.6" customHeight="1" x14ac:dyDescent="0.3">
      <c r="A20" s="65" t="s">
        <v>312</v>
      </c>
      <c r="B20" s="142" t="s">
        <v>21</v>
      </c>
      <c r="C20" s="143">
        <v>4</v>
      </c>
      <c r="D20" s="143"/>
      <c r="E20" s="144" t="s">
        <v>152</v>
      </c>
      <c r="F20" s="104"/>
      <c r="G20" s="148" t="s">
        <v>119</v>
      </c>
      <c r="H20" s="148" t="s">
        <v>152</v>
      </c>
      <c r="I20" s="148"/>
    </row>
    <row r="21" spans="1:9" ht="15.6" customHeight="1" x14ac:dyDescent="0.3">
      <c r="A21" s="65" t="s">
        <v>22</v>
      </c>
      <c r="B21" s="142" t="s">
        <v>341</v>
      </c>
      <c r="C21" s="143">
        <v>2</v>
      </c>
      <c r="D21" s="143"/>
      <c r="E21" s="144" t="s">
        <v>15</v>
      </c>
      <c r="F21" s="104"/>
      <c r="G21" s="148" t="s">
        <v>401</v>
      </c>
      <c r="H21" s="148"/>
      <c r="I21" s="148"/>
    </row>
    <row r="22" spans="1:9" ht="15.6" customHeight="1" x14ac:dyDescent="0.3">
      <c r="A22" s="65" t="s">
        <v>24</v>
      </c>
      <c r="B22" s="142" t="s">
        <v>25</v>
      </c>
      <c r="C22" s="143">
        <v>1</v>
      </c>
      <c r="D22" s="143"/>
      <c r="E22" s="144"/>
      <c r="F22" s="104"/>
      <c r="G22" s="148" t="s">
        <v>397</v>
      </c>
      <c r="H22" s="148" t="s">
        <v>171</v>
      </c>
      <c r="I22" s="148"/>
    </row>
    <row r="23" spans="1:9" ht="15.6" customHeight="1" x14ac:dyDescent="0.3">
      <c r="A23" s="65" t="s">
        <v>26</v>
      </c>
      <c r="B23" s="142" t="s">
        <v>27</v>
      </c>
      <c r="C23" s="143">
        <v>1</v>
      </c>
      <c r="D23" s="143"/>
      <c r="E23" s="144"/>
      <c r="F23" s="104"/>
      <c r="G23" s="148" t="s">
        <v>398</v>
      </c>
      <c r="H23" s="148" t="s">
        <v>152</v>
      </c>
      <c r="I23" s="148"/>
    </row>
    <row r="24" spans="1:9" ht="15.6" customHeight="1" x14ac:dyDescent="0.3">
      <c r="A24" s="65" t="s">
        <v>29</v>
      </c>
      <c r="B24" s="142" t="s">
        <v>30</v>
      </c>
      <c r="C24" s="143">
        <v>1</v>
      </c>
      <c r="D24" s="143"/>
      <c r="E24" s="144"/>
      <c r="F24" s="104"/>
      <c r="G24" s="148" t="s">
        <v>389</v>
      </c>
      <c r="H24" s="148"/>
      <c r="I24" s="148"/>
    </row>
    <row r="25" spans="1:9" ht="74.400000000000006" customHeight="1" x14ac:dyDescent="0.3"/>
    <row r="26" spans="1:9" s="102" customFormat="1" ht="23.4" customHeight="1" x14ac:dyDescent="0.3">
      <c r="A26" s="102" t="s">
        <v>394</v>
      </c>
      <c r="H26" s="102" t="s">
        <v>395</v>
      </c>
    </row>
    <row r="27" spans="1:9" x14ac:dyDescent="0.3">
      <c r="A27" s="125" t="s">
        <v>363</v>
      </c>
      <c r="B27" s="125"/>
      <c r="C27" s="125"/>
      <c r="D27" s="125"/>
      <c r="E27" s="125"/>
      <c r="F27" s="125"/>
      <c r="G27" s="125"/>
      <c r="H27" s="125"/>
      <c r="I27" s="125"/>
    </row>
    <row r="28" spans="1:9" x14ac:dyDescent="0.3">
      <c r="A28" s="125" t="s">
        <v>388</v>
      </c>
      <c r="B28" s="125"/>
      <c r="C28" s="125"/>
      <c r="D28" s="125"/>
      <c r="E28" s="125"/>
      <c r="F28" s="125"/>
      <c r="G28" s="125"/>
      <c r="H28" s="125"/>
      <c r="I28" s="125"/>
    </row>
    <row r="29" spans="1:9" s="102" customFormat="1" ht="14.4" customHeight="1" x14ac:dyDescent="0.3">
      <c r="A29" s="125" t="s">
        <v>396</v>
      </c>
      <c r="B29" s="125"/>
      <c r="C29" s="125"/>
      <c r="D29" s="125"/>
      <c r="E29" s="125"/>
      <c r="F29" s="125"/>
      <c r="G29" s="125"/>
      <c r="H29" s="125"/>
      <c r="I29" s="125"/>
    </row>
    <row r="30" spans="1:9" x14ac:dyDescent="0.3">
      <c r="A30" s="102" t="s">
        <v>337</v>
      </c>
      <c r="I30" s="102" t="s">
        <v>344</v>
      </c>
    </row>
    <row r="31" spans="1:9" s="102" customFormat="1" ht="22.2" customHeight="1" x14ac:dyDescent="0.3">
      <c r="A31" s="100" t="s">
        <v>324</v>
      </c>
      <c r="B31" s="101" t="s">
        <v>374</v>
      </c>
      <c r="C31" s="101" t="s">
        <v>375</v>
      </c>
      <c r="D31" s="101" t="s">
        <v>376</v>
      </c>
      <c r="E31" s="100" t="s">
        <v>377</v>
      </c>
      <c r="F31" s="155" t="s">
        <v>325</v>
      </c>
      <c r="G31" s="101" t="s">
        <v>378</v>
      </c>
      <c r="H31" s="100" t="s">
        <v>379</v>
      </c>
      <c r="I31" s="100" t="s">
        <v>380</v>
      </c>
    </row>
    <row r="32" spans="1:9" ht="21" customHeight="1" x14ac:dyDescent="0.3">
      <c r="A32" s="103" t="s">
        <v>326</v>
      </c>
      <c r="B32" s="137" t="s">
        <v>390</v>
      </c>
      <c r="C32" s="138"/>
      <c r="D32" s="137" t="s">
        <v>392</v>
      </c>
      <c r="E32" s="138"/>
      <c r="F32" s="156"/>
      <c r="G32" s="65" t="s">
        <v>9</v>
      </c>
      <c r="I32" s="103"/>
    </row>
    <row r="33" spans="1:9" ht="25.2" customHeight="1" x14ac:dyDescent="0.3">
      <c r="A33" s="103" t="s">
        <v>327</v>
      </c>
      <c r="B33" s="158" t="s">
        <v>391</v>
      </c>
      <c r="C33" s="158"/>
      <c r="D33" s="158" t="s">
        <v>393</v>
      </c>
      <c r="E33" s="158"/>
      <c r="F33" s="156"/>
      <c r="G33" s="65" t="s">
        <v>11</v>
      </c>
      <c r="H33" s="65" t="s">
        <v>6</v>
      </c>
      <c r="I33" s="65" t="s">
        <v>336</v>
      </c>
    </row>
    <row r="34" spans="1:9" ht="25.2" customHeight="1" x14ac:dyDescent="0.3">
      <c r="A34" s="103" t="s">
        <v>328</v>
      </c>
      <c r="B34" s="65" t="s">
        <v>9</v>
      </c>
      <c r="C34" s="65" t="s">
        <v>11</v>
      </c>
      <c r="D34" s="65" t="s">
        <v>6</v>
      </c>
      <c r="E34" s="65" t="s">
        <v>336</v>
      </c>
      <c r="F34" s="156"/>
      <c r="G34" s="65"/>
      <c r="H34" s="65"/>
      <c r="I34" s="65"/>
    </row>
    <row r="35" spans="1:9" ht="24.6" customHeight="1" x14ac:dyDescent="0.3">
      <c r="A35" s="103" t="s">
        <v>329</v>
      </c>
      <c r="B35" s="65"/>
      <c r="C35" s="65" t="s">
        <v>11</v>
      </c>
      <c r="D35" s="65" t="s">
        <v>6</v>
      </c>
      <c r="E35" s="65" t="s">
        <v>9</v>
      </c>
      <c r="F35" s="156"/>
      <c r="G35" s="65"/>
      <c r="H35" s="65" t="s">
        <v>336</v>
      </c>
      <c r="I35" s="106"/>
    </row>
    <row r="36" spans="1:9" ht="24" customHeight="1" x14ac:dyDescent="0.3">
      <c r="A36" s="103" t="s">
        <v>330</v>
      </c>
      <c r="B36" s="65"/>
      <c r="C36" s="65"/>
      <c r="D36" s="65" t="s">
        <v>6</v>
      </c>
      <c r="E36" s="65" t="s">
        <v>11</v>
      </c>
      <c r="F36" s="156"/>
      <c r="G36" s="65"/>
      <c r="H36" s="65" t="s">
        <v>336</v>
      </c>
      <c r="I36" s="65" t="s">
        <v>270</v>
      </c>
    </row>
    <row r="37" spans="1:9" ht="21" customHeight="1" x14ac:dyDescent="0.3">
      <c r="A37" s="103" t="s">
        <v>331</v>
      </c>
      <c r="B37" s="103" t="s">
        <v>339</v>
      </c>
      <c r="C37" s="124" t="s">
        <v>338</v>
      </c>
      <c r="D37" s="103" t="s">
        <v>339</v>
      </c>
      <c r="E37" s="103" t="s">
        <v>339</v>
      </c>
      <c r="F37" s="157"/>
      <c r="G37" s="103"/>
      <c r="H37" s="103"/>
      <c r="I37" s="103"/>
    </row>
    <row r="39" spans="1:9" s="7" customFormat="1" ht="24" customHeight="1" x14ac:dyDescent="0.3">
      <c r="A39" s="19" t="s">
        <v>381</v>
      </c>
      <c r="B39" s="152" t="s">
        <v>382</v>
      </c>
      <c r="C39" s="153"/>
      <c r="D39" s="153"/>
      <c r="E39" s="154"/>
      <c r="F39" s="123"/>
      <c r="G39" s="149" t="s">
        <v>383</v>
      </c>
      <c r="H39" s="150"/>
      <c r="I39" s="151"/>
    </row>
    <row r="40" spans="1:9" ht="15.6" customHeight="1" x14ac:dyDescent="0.3">
      <c r="A40" s="65" t="s">
        <v>6</v>
      </c>
      <c r="B40" s="142" t="s">
        <v>7</v>
      </c>
      <c r="C40" s="143"/>
      <c r="D40" s="143"/>
      <c r="E40" s="144"/>
      <c r="F40" s="104"/>
      <c r="G40" s="148" t="s">
        <v>342</v>
      </c>
      <c r="H40" s="148" t="s">
        <v>134</v>
      </c>
      <c r="I40" s="148"/>
    </row>
    <row r="41" spans="1:9" ht="15.6" customHeight="1" x14ac:dyDescent="0.3">
      <c r="A41" s="65" t="s">
        <v>9</v>
      </c>
      <c r="B41" s="142" t="s">
        <v>10</v>
      </c>
      <c r="C41" s="143">
        <v>4</v>
      </c>
      <c r="D41" s="143"/>
      <c r="E41" s="144" t="s">
        <v>171</v>
      </c>
      <c r="F41" s="104"/>
      <c r="G41" s="148" t="s">
        <v>335</v>
      </c>
      <c r="H41" s="148" t="s">
        <v>171</v>
      </c>
      <c r="I41" s="148"/>
    </row>
    <row r="42" spans="1:9" ht="15.6" customHeight="1" x14ac:dyDescent="0.3">
      <c r="A42" s="65" t="s">
        <v>11</v>
      </c>
      <c r="B42" s="142" t="s">
        <v>12</v>
      </c>
      <c r="C42" s="143">
        <v>4</v>
      </c>
      <c r="D42" s="143"/>
      <c r="E42" s="144" t="s">
        <v>152</v>
      </c>
      <c r="F42" s="104"/>
      <c r="G42" s="148" t="s">
        <v>119</v>
      </c>
      <c r="H42" s="148" t="s">
        <v>152</v>
      </c>
      <c r="I42" s="148"/>
    </row>
    <row r="43" spans="1:9" ht="15.6" customHeight="1" x14ac:dyDescent="0.3">
      <c r="A43" s="65" t="s">
        <v>13</v>
      </c>
      <c r="B43" s="142" t="s">
        <v>340</v>
      </c>
      <c r="C43" s="143"/>
      <c r="D43" s="143"/>
      <c r="E43" s="144"/>
      <c r="F43" s="104"/>
      <c r="G43" s="148" t="s">
        <v>343</v>
      </c>
      <c r="H43" s="148" t="s">
        <v>183</v>
      </c>
      <c r="I43" s="148"/>
    </row>
    <row r="44" spans="1:9" ht="15.6" customHeight="1" x14ac:dyDescent="0.3">
      <c r="A44" s="65" t="s">
        <v>125</v>
      </c>
      <c r="B44" s="142" t="s">
        <v>19</v>
      </c>
      <c r="C44" s="143">
        <v>4</v>
      </c>
      <c r="D44" s="143"/>
      <c r="E44" s="144" t="s">
        <v>321</v>
      </c>
      <c r="F44" s="104"/>
      <c r="G44" s="148" t="s">
        <v>343</v>
      </c>
      <c r="H44" s="148" t="s">
        <v>183</v>
      </c>
      <c r="I44" s="148"/>
    </row>
    <row r="45" spans="1:9" ht="15.6" customHeight="1" x14ac:dyDescent="0.3">
      <c r="A45" s="65" t="s">
        <v>312</v>
      </c>
      <c r="B45" s="142" t="s">
        <v>21</v>
      </c>
      <c r="C45" s="143">
        <v>4</v>
      </c>
      <c r="D45" s="143"/>
      <c r="E45" s="144" t="s">
        <v>152</v>
      </c>
      <c r="F45" s="104"/>
      <c r="G45" s="148" t="s">
        <v>119</v>
      </c>
      <c r="H45" s="148" t="s">
        <v>152</v>
      </c>
      <c r="I45" s="148"/>
    </row>
    <row r="46" spans="1:9" ht="15.6" customHeight="1" x14ac:dyDescent="0.3">
      <c r="A46" s="65" t="s">
        <v>22</v>
      </c>
      <c r="B46" s="142" t="s">
        <v>341</v>
      </c>
      <c r="C46" s="143">
        <v>2</v>
      </c>
      <c r="D46" s="143"/>
      <c r="E46" s="144" t="s">
        <v>15</v>
      </c>
      <c r="F46" s="104"/>
      <c r="G46" s="148" t="s">
        <v>401</v>
      </c>
      <c r="H46" s="148"/>
      <c r="I46" s="148"/>
    </row>
    <row r="47" spans="1:9" ht="15.6" customHeight="1" x14ac:dyDescent="0.3">
      <c r="A47" s="65" t="s">
        <v>24</v>
      </c>
      <c r="B47" s="142" t="s">
        <v>370</v>
      </c>
      <c r="C47" s="143">
        <v>1</v>
      </c>
      <c r="D47" s="143"/>
      <c r="E47" s="144"/>
      <c r="F47" s="104"/>
      <c r="G47" s="148" t="s">
        <v>397</v>
      </c>
      <c r="H47" s="148" t="s">
        <v>171</v>
      </c>
      <c r="I47" s="148"/>
    </row>
    <row r="48" spans="1:9" ht="15.6" customHeight="1" x14ac:dyDescent="0.3">
      <c r="A48" s="65" t="s">
        <v>26</v>
      </c>
      <c r="B48" s="142" t="s">
        <v>27</v>
      </c>
      <c r="C48" s="143">
        <v>1</v>
      </c>
      <c r="D48" s="143"/>
      <c r="E48" s="144"/>
      <c r="F48" s="104"/>
      <c r="G48" s="148" t="s">
        <v>398</v>
      </c>
      <c r="H48" s="148" t="s">
        <v>152</v>
      </c>
      <c r="I48" s="148"/>
    </row>
    <row r="49" spans="1:9" ht="15.6" customHeight="1" x14ac:dyDescent="0.3">
      <c r="A49" s="65" t="s">
        <v>29</v>
      </c>
      <c r="B49" s="142" t="s">
        <v>30</v>
      </c>
      <c r="C49" s="143">
        <v>1</v>
      </c>
      <c r="D49" s="143"/>
      <c r="E49" s="144"/>
      <c r="F49" s="104"/>
      <c r="G49" s="148" t="s">
        <v>389</v>
      </c>
      <c r="H49" s="148"/>
      <c r="I49" s="148"/>
    </row>
    <row r="50" spans="1:9" ht="70.8" customHeight="1" x14ac:dyDescent="0.3"/>
    <row r="51" spans="1:9" s="102" customFormat="1" ht="22.8" customHeight="1" x14ac:dyDescent="0.3">
      <c r="A51" s="102" t="s">
        <v>394</v>
      </c>
      <c r="H51" s="102" t="s">
        <v>395</v>
      </c>
    </row>
    <row r="52" spans="1:9" x14ac:dyDescent="0.3">
      <c r="A52" s="102" t="s">
        <v>345</v>
      </c>
      <c r="B52" s="102"/>
      <c r="C52" s="102"/>
      <c r="D52" s="102"/>
      <c r="E52" s="102"/>
      <c r="F52" s="102"/>
      <c r="G52" s="102"/>
      <c r="H52" s="102"/>
      <c r="I52" s="102" t="s">
        <v>385</v>
      </c>
    </row>
    <row r="53" spans="1:9" s="102" customFormat="1" ht="22.2" customHeight="1" x14ac:dyDescent="0.3">
      <c r="A53" s="100" t="s">
        <v>324</v>
      </c>
      <c r="B53" s="101" t="s">
        <v>374</v>
      </c>
      <c r="C53" s="101" t="s">
        <v>375</v>
      </c>
      <c r="D53" s="101" t="s">
        <v>376</v>
      </c>
      <c r="E53" s="100" t="s">
        <v>377</v>
      </c>
      <c r="F53" s="134" t="s">
        <v>325</v>
      </c>
      <c r="G53" s="101" t="s">
        <v>378</v>
      </c>
      <c r="H53" s="100" t="s">
        <v>379</v>
      </c>
      <c r="I53" s="100" t="s">
        <v>380</v>
      </c>
    </row>
    <row r="54" spans="1:9" ht="19.8" customHeight="1" x14ac:dyDescent="0.3">
      <c r="A54" s="103" t="s">
        <v>326</v>
      </c>
      <c r="B54" s="65"/>
      <c r="C54" s="107" t="s">
        <v>33</v>
      </c>
      <c r="D54" s="98" t="s">
        <v>35</v>
      </c>
      <c r="E54" s="109" t="s">
        <v>37</v>
      </c>
      <c r="F54" s="135"/>
      <c r="G54" s="93" t="s">
        <v>350</v>
      </c>
      <c r="H54" s="97" t="s">
        <v>39</v>
      </c>
      <c r="I54" s="110" t="s">
        <v>351</v>
      </c>
    </row>
    <row r="55" spans="1:9" ht="19.8" customHeight="1" x14ac:dyDescent="0.3">
      <c r="A55" s="103" t="s">
        <v>327</v>
      </c>
      <c r="B55" s="106"/>
      <c r="C55" s="93" t="s">
        <v>350</v>
      </c>
      <c r="D55" s="107" t="s">
        <v>33</v>
      </c>
      <c r="E55" s="97" t="s">
        <v>39</v>
      </c>
      <c r="F55" s="135"/>
      <c r="G55" s="110" t="s">
        <v>351</v>
      </c>
      <c r="H55" s="98" t="s">
        <v>35</v>
      </c>
      <c r="I55" s="65"/>
    </row>
    <row r="56" spans="1:9" ht="19.8" customHeight="1" x14ac:dyDescent="0.3">
      <c r="A56" s="103" t="s">
        <v>328</v>
      </c>
      <c r="B56" s="137" t="s">
        <v>346</v>
      </c>
      <c r="C56" s="138"/>
      <c r="D56" s="137" t="s">
        <v>347</v>
      </c>
      <c r="E56" s="138"/>
      <c r="F56" s="135"/>
      <c r="G56" s="93" t="s">
        <v>350</v>
      </c>
      <c r="H56" s="107" t="s">
        <v>33</v>
      </c>
      <c r="I56" s="110" t="s">
        <v>351</v>
      </c>
    </row>
    <row r="57" spans="1:9" ht="19.8" customHeight="1" x14ac:dyDescent="0.3">
      <c r="A57" s="103" t="s">
        <v>329</v>
      </c>
      <c r="B57" s="137" t="s">
        <v>348</v>
      </c>
      <c r="C57" s="138"/>
      <c r="D57" s="137" t="s">
        <v>349</v>
      </c>
      <c r="E57" s="138"/>
      <c r="F57" s="135"/>
      <c r="G57" s="97" t="s">
        <v>39</v>
      </c>
      <c r="H57" s="98" t="s">
        <v>35</v>
      </c>
      <c r="I57" s="107" t="s">
        <v>33</v>
      </c>
    </row>
    <row r="58" spans="1:9" ht="19.8" customHeight="1" x14ac:dyDescent="0.3">
      <c r="A58" s="103" t="s">
        <v>330</v>
      </c>
      <c r="B58" s="109" t="s">
        <v>37</v>
      </c>
      <c r="C58" s="110" t="s">
        <v>351</v>
      </c>
      <c r="D58" s="93" t="s">
        <v>350</v>
      </c>
      <c r="E58" s="97" t="s">
        <v>39</v>
      </c>
      <c r="F58" s="135"/>
      <c r="G58" s="98" t="s">
        <v>35</v>
      </c>
      <c r="H58" s="65"/>
      <c r="I58" s="65"/>
    </row>
    <row r="59" spans="1:9" ht="19.8" customHeight="1" x14ac:dyDescent="0.3">
      <c r="A59" s="103" t="s">
        <v>331</v>
      </c>
      <c r="B59" s="103"/>
      <c r="C59" s="103"/>
      <c r="D59" s="103"/>
      <c r="E59" s="103"/>
      <c r="F59" s="136"/>
      <c r="G59" s="103"/>
      <c r="H59" s="103"/>
      <c r="I59" s="103"/>
    </row>
    <row r="61" spans="1:9" s="7" customFormat="1" ht="24" customHeight="1" x14ac:dyDescent="0.3">
      <c r="A61" s="19" t="s">
        <v>381</v>
      </c>
      <c r="B61" s="152" t="s">
        <v>382</v>
      </c>
      <c r="C61" s="153"/>
      <c r="D61" s="153"/>
      <c r="E61" s="154"/>
      <c r="F61" s="123"/>
      <c r="G61" s="149" t="s">
        <v>383</v>
      </c>
      <c r="H61" s="150"/>
      <c r="I61" s="151"/>
    </row>
    <row r="62" spans="1:9" x14ac:dyDescent="0.25">
      <c r="A62" s="108" t="s">
        <v>33</v>
      </c>
      <c r="B62" s="142" t="s">
        <v>34</v>
      </c>
      <c r="C62" s="143">
        <v>4</v>
      </c>
      <c r="D62" s="143" t="s">
        <v>228</v>
      </c>
      <c r="E62" s="144" t="s">
        <v>316</v>
      </c>
      <c r="F62" s="48"/>
      <c r="G62" s="129" t="s">
        <v>333</v>
      </c>
      <c r="H62" s="129"/>
      <c r="I62" s="129"/>
    </row>
    <row r="63" spans="1:9" x14ac:dyDescent="0.25">
      <c r="A63" s="98" t="s">
        <v>35</v>
      </c>
      <c r="B63" s="142" t="s">
        <v>36</v>
      </c>
      <c r="C63" s="143">
        <v>4</v>
      </c>
      <c r="D63" s="143" t="s">
        <v>201</v>
      </c>
      <c r="E63" s="144" t="s">
        <v>317</v>
      </c>
      <c r="F63" s="48"/>
      <c r="G63" s="129" t="s">
        <v>123</v>
      </c>
      <c r="H63" s="129"/>
      <c r="I63" s="129"/>
    </row>
    <row r="64" spans="1:9" x14ac:dyDescent="0.25">
      <c r="A64" s="109" t="s">
        <v>37</v>
      </c>
      <c r="B64" s="142" t="s">
        <v>38</v>
      </c>
      <c r="C64" s="143">
        <v>2</v>
      </c>
      <c r="D64" s="143" t="s">
        <v>186</v>
      </c>
      <c r="E64" s="144"/>
      <c r="F64" s="48"/>
      <c r="G64" s="129" t="s">
        <v>364</v>
      </c>
      <c r="H64" s="129"/>
      <c r="I64" s="129"/>
    </row>
    <row r="65" spans="1:12" x14ac:dyDescent="0.25">
      <c r="A65" s="97" t="s">
        <v>39</v>
      </c>
      <c r="B65" s="142" t="s">
        <v>40</v>
      </c>
      <c r="C65" s="143">
        <v>4</v>
      </c>
      <c r="D65" s="143" t="s">
        <v>140</v>
      </c>
      <c r="E65" s="144" t="s">
        <v>140</v>
      </c>
      <c r="F65" s="48"/>
      <c r="G65" s="129" t="s">
        <v>364</v>
      </c>
      <c r="H65" s="129"/>
      <c r="I65" s="129"/>
    </row>
    <row r="66" spans="1:12" s="102" customFormat="1" ht="22.8" x14ac:dyDescent="0.25">
      <c r="A66" s="67" t="s">
        <v>16</v>
      </c>
      <c r="B66" s="145" t="s">
        <v>41</v>
      </c>
      <c r="C66" s="146"/>
      <c r="D66" s="146"/>
      <c r="E66" s="147"/>
      <c r="F66" s="64"/>
      <c r="G66" s="130"/>
      <c r="H66" s="130"/>
      <c r="I66" s="130"/>
    </row>
    <row r="67" spans="1:12" x14ac:dyDescent="0.25">
      <c r="A67" s="93" t="s">
        <v>350</v>
      </c>
      <c r="B67" s="142" t="s">
        <v>43</v>
      </c>
      <c r="C67" s="143">
        <v>4</v>
      </c>
      <c r="D67" s="143"/>
      <c r="E67" s="144" t="s">
        <v>318</v>
      </c>
      <c r="F67" s="48"/>
      <c r="G67" s="129" t="s">
        <v>128</v>
      </c>
      <c r="H67" s="129"/>
      <c r="I67" s="129"/>
    </row>
    <row r="68" spans="1:12" x14ac:dyDescent="0.25">
      <c r="A68" s="110" t="s">
        <v>351</v>
      </c>
      <c r="B68" s="142" t="s">
        <v>45</v>
      </c>
      <c r="C68" s="143">
        <v>4</v>
      </c>
      <c r="D68" s="143"/>
      <c r="E68" s="144"/>
      <c r="F68" s="48"/>
      <c r="G68" s="129" t="s">
        <v>127</v>
      </c>
      <c r="H68" s="129"/>
      <c r="I68" s="129"/>
    </row>
    <row r="69" spans="1:12" x14ac:dyDescent="0.25">
      <c r="A69" s="65" t="s">
        <v>46</v>
      </c>
      <c r="B69" s="142" t="s">
        <v>47</v>
      </c>
      <c r="C69" s="143">
        <v>1</v>
      </c>
      <c r="D69" s="143"/>
      <c r="E69" s="144"/>
      <c r="F69" s="48"/>
      <c r="G69" s="129" t="s">
        <v>369</v>
      </c>
      <c r="H69" s="129"/>
      <c r="I69" s="129"/>
    </row>
    <row r="70" spans="1:12" x14ac:dyDescent="0.25">
      <c r="A70" s="65" t="s">
        <v>48</v>
      </c>
      <c r="B70" s="142" t="s">
        <v>49</v>
      </c>
      <c r="C70" s="143">
        <v>1</v>
      </c>
      <c r="D70" s="143"/>
      <c r="E70" s="144"/>
      <c r="F70" s="48"/>
      <c r="G70" s="129" t="s">
        <v>368</v>
      </c>
      <c r="H70" s="129"/>
      <c r="I70" s="129"/>
    </row>
    <row r="72" spans="1:12" x14ac:dyDescent="0.3">
      <c r="A72" s="125" t="s">
        <v>363</v>
      </c>
      <c r="B72" s="125"/>
      <c r="C72" s="125"/>
      <c r="D72" s="125"/>
      <c r="E72" s="125"/>
      <c r="F72" s="125"/>
      <c r="G72" s="125"/>
      <c r="H72" s="125"/>
      <c r="I72" s="125"/>
    </row>
    <row r="73" spans="1:12" x14ac:dyDescent="0.3">
      <c r="A73" s="125" t="s">
        <v>388</v>
      </c>
      <c r="B73" s="125"/>
      <c r="C73" s="125"/>
      <c r="D73" s="125"/>
      <c r="E73" s="125"/>
      <c r="F73" s="125"/>
      <c r="G73" s="125"/>
      <c r="H73" s="125"/>
      <c r="I73" s="125"/>
    </row>
    <row r="74" spans="1:12" s="102" customFormat="1" ht="14.4" customHeight="1" x14ac:dyDescent="0.3">
      <c r="A74" s="125" t="s">
        <v>396</v>
      </c>
      <c r="B74" s="125"/>
      <c r="C74" s="125"/>
      <c r="D74" s="125"/>
      <c r="E74" s="125"/>
      <c r="F74" s="125"/>
      <c r="G74" s="125"/>
      <c r="H74" s="125"/>
      <c r="I74" s="125"/>
    </row>
    <row r="75" spans="1:12" x14ac:dyDescent="0.3">
      <c r="A75" s="102" t="s">
        <v>356</v>
      </c>
      <c r="B75" s="102"/>
      <c r="C75" s="102"/>
      <c r="D75" s="102"/>
      <c r="E75" s="102"/>
      <c r="F75" s="102"/>
      <c r="G75" s="102"/>
      <c r="H75" s="102"/>
      <c r="I75" s="102" t="s">
        <v>386</v>
      </c>
    </row>
    <row r="76" spans="1:12" s="102" customFormat="1" ht="22.2" customHeight="1" x14ac:dyDescent="0.3">
      <c r="A76" s="100" t="s">
        <v>324</v>
      </c>
      <c r="B76" s="101" t="s">
        <v>374</v>
      </c>
      <c r="C76" s="101" t="s">
        <v>375</v>
      </c>
      <c r="D76" s="101" t="s">
        <v>376</v>
      </c>
      <c r="E76" s="100" t="s">
        <v>377</v>
      </c>
      <c r="F76" s="139" t="s">
        <v>325</v>
      </c>
      <c r="G76" s="101" t="s">
        <v>378</v>
      </c>
      <c r="H76" s="100" t="s">
        <v>379</v>
      </c>
      <c r="I76" s="100" t="s">
        <v>380</v>
      </c>
    </row>
    <row r="77" spans="1:12" ht="21" customHeight="1" x14ac:dyDescent="0.3">
      <c r="A77" s="103" t="s">
        <v>326</v>
      </c>
      <c r="B77" s="63" t="s">
        <v>64</v>
      </c>
      <c r="C77" s="63" t="s">
        <v>359</v>
      </c>
      <c r="D77" s="63" t="s">
        <v>57</v>
      </c>
      <c r="E77" s="63" t="s">
        <v>59</v>
      </c>
      <c r="F77" s="139"/>
      <c r="G77" s="65"/>
      <c r="H77" s="63" t="s">
        <v>51</v>
      </c>
      <c r="I77" s="63" t="s">
        <v>53</v>
      </c>
      <c r="L77" s="69"/>
    </row>
    <row r="78" spans="1:12" ht="21" customHeight="1" x14ac:dyDescent="0.3">
      <c r="A78" s="103" t="s">
        <v>327</v>
      </c>
      <c r="C78" s="63" t="s">
        <v>359</v>
      </c>
      <c r="D78" s="63" t="s">
        <v>51</v>
      </c>
      <c r="E78" s="63" t="s">
        <v>53</v>
      </c>
      <c r="F78" s="139"/>
      <c r="G78" s="63" t="s">
        <v>64</v>
      </c>
      <c r="H78" s="63" t="s">
        <v>59</v>
      </c>
      <c r="I78" s="63" t="s">
        <v>57</v>
      </c>
    </row>
    <row r="79" spans="1:12" ht="43.8" customHeight="1" x14ac:dyDescent="0.3">
      <c r="A79" s="103" t="s">
        <v>328</v>
      </c>
      <c r="B79" s="63" t="s">
        <v>53</v>
      </c>
      <c r="C79" s="63" t="s">
        <v>57</v>
      </c>
      <c r="D79" s="63" t="s">
        <v>59</v>
      </c>
      <c r="E79" s="63" t="s">
        <v>358</v>
      </c>
      <c r="F79" s="139"/>
      <c r="G79" s="65"/>
      <c r="H79" s="63" t="s">
        <v>51</v>
      </c>
      <c r="I79" s="65"/>
    </row>
    <row r="80" spans="1:12" ht="40.799999999999997" customHeight="1" x14ac:dyDescent="0.3">
      <c r="A80" s="103" t="s">
        <v>329</v>
      </c>
      <c r="B80" s="63" t="s">
        <v>357</v>
      </c>
      <c r="C80" s="63" t="s">
        <v>358</v>
      </c>
      <c r="D80" s="63" t="s">
        <v>53</v>
      </c>
      <c r="E80" s="63" t="s">
        <v>51</v>
      </c>
      <c r="F80" s="139"/>
      <c r="G80" s="132" t="s">
        <v>354</v>
      </c>
      <c r="H80" s="133"/>
      <c r="I80" s="63"/>
    </row>
    <row r="81" spans="1:9" ht="21" customHeight="1" x14ac:dyDescent="0.3">
      <c r="A81" s="103" t="s">
        <v>330</v>
      </c>
      <c r="B81" s="140" t="s">
        <v>352</v>
      </c>
      <c r="C81" s="141"/>
      <c r="D81" s="140" t="s">
        <v>353</v>
      </c>
      <c r="E81" s="141"/>
      <c r="F81" s="139"/>
      <c r="G81" s="132" t="s">
        <v>355</v>
      </c>
      <c r="H81" s="133"/>
      <c r="I81" s="65"/>
    </row>
    <row r="82" spans="1:9" ht="21" customHeight="1" x14ac:dyDescent="0.3">
      <c r="A82" s="103" t="s">
        <v>331</v>
      </c>
      <c r="B82" s="103"/>
      <c r="C82" s="103"/>
      <c r="D82" s="103"/>
      <c r="E82" s="103"/>
      <c r="F82" s="139"/>
      <c r="G82" s="103"/>
      <c r="H82" s="103"/>
      <c r="I82" s="103"/>
    </row>
    <row r="84" spans="1:9" s="7" customFormat="1" ht="24" customHeight="1" x14ac:dyDescent="0.3">
      <c r="A84" s="19" t="s">
        <v>381</v>
      </c>
      <c r="B84" s="152" t="s">
        <v>382</v>
      </c>
      <c r="C84" s="153"/>
      <c r="D84" s="153"/>
      <c r="E84" s="154"/>
      <c r="F84" s="123"/>
      <c r="G84" s="149" t="s">
        <v>383</v>
      </c>
      <c r="H84" s="150"/>
      <c r="I84" s="151"/>
    </row>
    <row r="85" spans="1:9" x14ac:dyDescent="0.25">
      <c r="A85" s="111" t="s">
        <v>51</v>
      </c>
      <c r="B85" s="142" t="s">
        <v>52</v>
      </c>
      <c r="C85" s="143">
        <v>4</v>
      </c>
      <c r="D85" s="143" t="s">
        <v>183</v>
      </c>
      <c r="E85" s="144" t="s">
        <v>183</v>
      </c>
      <c r="F85" s="48"/>
      <c r="G85" s="129" t="s">
        <v>365</v>
      </c>
      <c r="H85" s="129"/>
      <c r="I85" s="129"/>
    </row>
    <row r="86" spans="1:9" x14ac:dyDescent="0.25">
      <c r="A86" s="112" t="s">
        <v>53</v>
      </c>
      <c r="B86" s="142" t="s">
        <v>54</v>
      </c>
      <c r="C86" s="143">
        <v>4</v>
      </c>
      <c r="D86" s="143" t="s">
        <v>321</v>
      </c>
      <c r="E86" s="144" t="s">
        <v>319</v>
      </c>
      <c r="F86" s="48"/>
      <c r="G86" s="129" t="s">
        <v>128</v>
      </c>
      <c r="H86" s="129"/>
      <c r="I86" s="129"/>
    </row>
    <row r="87" spans="1:9" x14ac:dyDescent="0.25">
      <c r="A87" s="66" t="s">
        <v>55</v>
      </c>
      <c r="B87" s="145" t="s">
        <v>56</v>
      </c>
      <c r="C87" s="146"/>
      <c r="D87" s="146"/>
      <c r="E87" s="147"/>
      <c r="F87" s="48"/>
      <c r="G87" s="129"/>
      <c r="H87" s="129"/>
      <c r="I87" s="129"/>
    </row>
    <row r="88" spans="1:9" x14ac:dyDescent="0.25">
      <c r="A88" s="114" t="s">
        <v>57</v>
      </c>
      <c r="B88" s="142" t="s">
        <v>58</v>
      </c>
      <c r="C88" s="143">
        <v>4</v>
      </c>
      <c r="D88" s="143" t="s">
        <v>140</v>
      </c>
      <c r="E88" s="144" t="s">
        <v>319</v>
      </c>
      <c r="F88" s="48"/>
      <c r="G88" s="129" t="s">
        <v>127</v>
      </c>
      <c r="H88" s="129"/>
      <c r="I88" s="129"/>
    </row>
    <row r="89" spans="1:9" x14ac:dyDescent="0.25">
      <c r="A89" s="113" t="s">
        <v>59</v>
      </c>
      <c r="B89" s="142" t="s">
        <v>60</v>
      </c>
      <c r="C89" s="143">
        <v>4</v>
      </c>
      <c r="D89" s="143" t="s">
        <v>201</v>
      </c>
      <c r="E89" s="144"/>
      <c r="F89" s="48"/>
      <c r="G89" s="129" t="s">
        <v>366</v>
      </c>
      <c r="H89" s="129"/>
      <c r="I89" s="129"/>
    </row>
    <row r="90" spans="1:9" x14ac:dyDescent="0.25">
      <c r="A90" s="66" t="s">
        <v>55</v>
      </c>
      <c r="B90" s="145" t="s">
        <v>61</v>
      </c>
      <c r="C90" s="146"/>
      <c r="D90" s="146"/>
      <c r="E90" s="147"/>
      <c r="F90" s="48"/>
      <c r="G90" s="129"/>
      <c r="H90" s="129"/>
      <c r="I90" s="129"/>
    </row>
    <row r="91" spans="1:9" x14ac:dyDescent="0.25">
      <c r="A91" s="115" t="s">
        <v>62</v>
      </c>
      <c r="B91" s="142" t="s">
        <v>63</v>
      </c>
      <c r="C91" s="143">
        <v>4</v>
      </c>
      <c r="D91" s="143"/>
      <c r="E91" s="144" t="s">
        <v>171</v>
      </c>
      <c r="F91" s="48"/>
      <c r="G91" s="129" t="s">
        <v>364</v>
      </c>
      <c r="H91" s="129"/>
      <c r="I91" s="129"/>
    </row>
    <row r="92" spans="1:9" x14ac:dyDescent="0.25">
      <c r="A92" s="116" t="s">
        <v>64</v>
      </c>
      <c r="B92" s="142" t="s">
        <v>65</v>
      </c>
      <c r="C92" s="143">
        <v>4</v>
      </c>
      <c r="D92" s="143"/>
      <c r="E92" s="144" t="s">
        <v>163</v>
      </c>
      <c r="F92" s="48"/>
      <c r="G92" s="129" t="s">
        <v>334</v>
      </c>
      <c r="H92" s="129"/>
      <c r="I92" s="129"/>
    </row>
    <row r="93" spans="1:9" x14ac:dyDescent="0.25">
      <c r="A93" s="63" t="s">
        <v>66</v>
      </c>
      <c r="B93" s="142" t="s">
        <v>67</v>
      </c>
      <c r="C93" s="143">
        <v>1</v>
      </c>
      <c r="D93" s="143"/>
      <c r="E93" s="144"/>
      <c r="F93" s="48"/>
      <c r="G93" s="129" t="s">
        <v>400</v>
      </c>
      <c r="H93" s="129"/>
      <c r="I93" s="129"/>
    </row>
    <row r="94" spans="1:9" x14ac:dyDescent="0.25">
      <c r="A94" s="63" t="s">
        <v>28</v>
      </c>
      <c r="B94" s="142" t="s">
        <v>68</v>
      </c>
      <c r="C94" s="143">
        <v>1</v>
      </c>
      <c r="D94" s="143"/>
      <c r="E94" s="144"/>
      <c r="F94" s="48"/>
      <c r="G94" s="129" t="s">
        <v>399</v>
      </c>
      <c r="H94" s="129"/>
      <c r="I94" s="129"/>
    </row>
    <row r="95" spans="1:9" x14ac:dyDescent="0.25">
      <c r="A95" s="63" t="s">
        <v>69</v>
      </c>
      <c r="B95" s="142" t="s">
        <v>70</v>
      </c>
      <c r="C95" s="143">
        <v>6</v>
      </c>
      <c r="D95" s="143"/>
      <c r="E95" s="144"/>
      <c r="F95" s="48"/>
      <c r="G95" s="129"/>
      <c r="H95" s="129"/>
      <c r="I95" s="129"/>
    </row>
    <row r="96" spans="1:9" ht="76.8" customHeight="1" x14ac:dyDescent="0.3"/>
    <row r="97" spans="1:9" s="102" customFormat="1" ht="22.8" customHeight="1" x14ac:dyDescent="0.3">
      <c r="A97" s="102" t="s">
        <v>394</v>
      </c>
      <c r="H97" s="102" t="s">
        <v>395</v>
      </c>
    </row>
    <row r="98" spans="1:9" x14ac:dyDescent="0.3">
      <c r="A98" s="102" t="s">
        <v>71</v>
      </c>
      <c r="B98" s="102"/>
      <c r="C98" s="102"/>
      <c r="D98" s="102"/>
      <c r="E98" s="102"/>
      <c r="F98" s="102"/>
      <c r="G98" s="102"/>
      <c r="H98" s="102"/>
      <c r="I98" s="102" t="s">
        <v>387</v>
      </c>
    </row>
    <row r="99" spans="1:9" s="102" customFormat="1" ht="22.2" customHeight="1" x14ac:dyDescent="0.3">
      <c r="A99" s="100" t="s">
        <v>324</v>
      </c>
      <c r="B99" s="101" t="s">
        <v>374</v>
      </c>
      <c r="C99" s="101" t="s">
        <v>375</v>
      </c>
      <c r="D99" s="101" t="s">
        <v>376</v>
      </c>
      <c r="E99" s="100" t="s">
        <v>377</v>
      </c>
      <c r="F99" s="126" t="s">
        <v>325</v>
      </c>
      <c r="G99" s="101" t="s">
        <v>378</v>
      </c>
      <c r="H99" s="100" t="s">
        <v>379</v>
      </c>
      <c r="I99" s="100" t="s">
        <v>380</v>
      </c>
    </row>
    <row r="100" spans="1:9" ht="23.4" customHeight="1" x14ac:dyDescent="0.3">
      <c r="A100" s="103" t="s">
        <v>326</v>
      </c>
      <c r="B100" s="122" t="s">
        <v>83</v>
      </c>
      <c r="C100" s="118" t="s">
        <v>79</v>
      </c>
      <c r="D100" s="121" t="s">
        <v>72</v>
      </c>
      <c r="E100" s="103"/>
      <c r="F100" s="126"/>
      <c r="G100" s="127" t="s">
        <v>360</v>
      </c>
      <c r="H100" s="128"/>
      <c r="I100" s="65"/>
    </row>
    <row r="101" spans="1:9" ht="23.4" customHeight="1" x14ac:dyDescent="0.3">
      <c r="A101" s="103" t="s">
        <v>327</v>
      </c>
      <c r="B101" s="112" t="s">
        <v>75</v>
      </c>
      <c r="C101" s="113" t="s">
        <v>77</v>
      </c>
      <c r="D101" s="105" t="s">
        <v>88</v>
      </c>
      <c r="E101" s="103"/>
      <c r="F101" s="126"/>
      <c r="G101" s="127" t="s">
        <v>361</v>
      </c>
      <c r="H101" s="128"/>
      <c r="I101" s="65"/>
    </row>
    <row r="102" spans="1:9" ht="23.4" customHeight="1" x14ac:dyDescent="0.3">
      <c r="A102" s="103" t="s">
        <v>328</v>
      </c>
      <c r="B102" s="113" t="s">
        <v>77</v>
      </c>
      <c r="C102" s="121" t="s">
        <v>72</v>
      </c>
      <c r="D102" s="122" t="s">
        <v>83</v>
      </c>
      <c r="E102" s="117" t="s">
        <v>86</v>
      </c>
      <c r="F102" s="126"/>
      <c r="G102" s="131" t="s">
        <v>362</v>
      </c>
      <c r="H102" s="131"/>
      <c r="I102" s="65"/>
    </row>
    <row r="103" spans="1:9" ht="23.4" customHeight="1" x14ac:dyDescent="0.3">
      <c r="A103" s="103" t="s">
        <v>329</v>
      </c>
      <c r="B103" s="112" t="s">
        <v>75</v>
      </c>
      <c r="C103" s="121" t="s">
        <v>72</v>
      </c>
      <c r="D103" s="118" t="s">
        <v>79</v>
      </c>
      <c r="E103" s="117" t="s">
        <v>86</v>
      </c>
      <c r="F103" s="126"/>
      <c r="G103" s="120" t="s">
        <v>88</v>
      </c>
      <c r="H103" s="103"/>
      <c r="I103" s="103"/>
    </row>
    <row r="104" spans="1:9" ht="23.4" customHeight="1" x14ac:dyDescent="0.3">
      <c r="A104" s="103" t="s">
        <v>330</v>
      </c>
      <c r="B104" s="122" t="s">
        <v>83</v>
      </c>
      <c r="C104" s="112" t="s">
        <v>75</v>
      </c>
      <c r="D104" s="113" t="s">
        <v>77</v>
      </c>
      <c r="E104" s="117" t="s">
        <v>86</v>
      </c>
      <c r="F104" s="126"/>
      <c r="G104" s="118" t="s">
        <v>79</v>
      </c>
      <c r="H104" s="120" t="s">
        <v>88</v>
      </c>
      <c r="I104" s="103"/>
    </row>
    <row r="105" spans="1:9" ht="23.4" customHeight="1" x14ac:dyDescent="0.3">
      <c r="A105" s="103" t="s">
        <v>331</v>
      </c>
      <c r="B105" s="63"/>
      <c r="C105" s="63"/>
      <c r="D105" s="63"/>
      <c r="E105" s="63"/>
      <c r="F105" s="126"/>
      <c r="G105" s="65"/>
      <c r="H105" s="65"/>
      <c r="I105" s="65"/>
    </row>
    <row r="107" spans="1:9" s="7" customFormat="1" ht="24" customHeight="1" x14ac:dyDescent="0.3">
      <c r="A107" s="19" t="s">
        <v>381</v>
      </c>
      <c r="B107" s="152" t="s">
        <v>382</v>
      </c>
      <c r="C107" s="153"/>
      <c r="D107" s="153"/>
      <c r="E107" s="154"/>
      <c r="F107" s="123"/>
      <c r="G107" s="149" t="s">
        <v>383</v>
      </c>
      <c r="H107" s="150"/>
      <c r="I107" s="151"/>
    </row>
    <row r="108" spans="1:9" x14ac:dyDescent="0.25">
      <c r="A108" s="121" t="s">
        <v>72</v>
      </c>
      <c r="B108" s="142" t="s">
        <v>73</v>
      </c>
      <c r="C108" s="143">
        <v>3</v>
      </c>
      <c r="D108" s="143" t="s">
        <v>74</v>
      </c>
      <c r="E108" s="144"/>
      <c r="F108" s="48"/>
      <c r="G108" s="129" t="s">
        <v>403</v>
      </c>
      <c r="H108" s="129"/>
      <c r="I108" s="129"/>
    </row>
    <row r="109" spans="1:9" x14ac:dyDescent="0.25">
      <c r="A109" s="112" t="s">
        <v>75</v>
      </c>
      <c r="B109" s="142" t="s">
        <v>76</v>
      </c>
      <c r="C109" s="143">
        <v>3</v>
      </c>
      <c r="D109" s="143" t="s">
        <v>214</v>
      </c>
      <c r="E109" s="144" t="s">
        <v>214</v>
      </c>
      <c r="F109" s="48"/>
      <c r="G109" s="129" t="s">
        <v>367</v>
      </c>
      <c r="H109" s="129"/>
      <c r="I109" s="129"/>
    </row>
    <row r="110" spans="1:9" x14ac:dyDescent="0.25">
      <c r="A110" s="113" t="s">
        <v>77</v>
      </c>
      <c r="B110" s="142" t="s">
        <v>78</v>
      </c>
      <c r="C110" s="143">
        <v>3</v>
      </c>
      <c r="D110" s="143" t="s">
        <v>190</v>
      </c>
      <c r="E110" s="144"/>
      <c r="F110" s="48"/>
      <c r="G110" s="129" t="s">
        <v>123</v>
      </c>
      <c r="H110" s="129"/>
      <c r="I110" s="129"/>
    </row>
    <row r="111" spans="1:9" x14ac:dyDescent="0.25">
      <c r="A111" s="118" t="s">
        <v>79</v>
      </c>
      <c r="B111" s="142" t="s">
        <v>80</v>
      </c>
      <c r="C111" s="143">
        <v>3</v>
      </c>
      <c r="D111" s="143" t="s">
        <v>214</v>
      </c>
      <c r="E111" s="144" t="s">
        <v>214</v>
      </c>
      <c r="F111" s="48"/>
      <c r="G111" s="129" t="s">
        <v>367</v>
      </c>
      <c r="H111" s="129"/>
      <c r="I111" s="129"/>
    </row>
    <row r="112" spans="1:9" x14ac:dyDescent="0.25">
      <c r="A112" s="66" t="s">
        <v>81</v>
      </c>
      <c r="B112" s="145" t="s">
        <v>82</v>
      </c>
      <c r="C112" s="146"/>
      <c r="D112" s="146"/>
      <c r="E112" s="147"/>
      <c r="F112" s="48"/>
      <c r="G112" s="129"/>
      <c r="H112" s="129"/>
      <c r="I112" s="129"/>
    </row>
    <row r="113" spans="1:9" x14ac:dyDescent="0.25">
      <c r="A113" s="119" t="s">
        <v>83</v>
      </c>
      <c r="B113" s="142" t="s">
        <v>84</v>
      </c>
      <c r="C113" s="143">
        <v>3</v>
      </c>
      <c r="D113" s="143" t="s">
        <v>152</v>
      </c>
      <c r="E113" s="144" t="s">
        <v>320</v>
      </c>
      <c r="F113" s="48"/>
      <c r="G113" s="129" t="s">
        <v>123</v>
      </c>
      <c r="H113" s="129"/>
      <c r="I113" s="129"/>
    </row>
    <row r="114" spans="1:9" x14ac:dyDescent="0.25">
      <c r="A114" s="66" t="s">
        <v>81</v>
      </c>
      <c r="B114" s="145" t="s">
        <v>85</v>
      </c>
      <c r="C114" s="146"/>
      <c r="D114" s="146"/>
      <c r="E114" s="147"/>
      <c r="F114" s="48"/>
      <c r="G114" s="129"/>
      <c r="H114" s="129"/>
      <c r="I114" s="129"/>
    </row>
    <row r="115" spans="1:9" x14ac:dyDescent="0.25">
      <c r="A115" s="117" t="s">
        <v>86</v>
      </c>
      <c r="B115" s="142" t="s">
        <v>87</v>
      </c>
      <c r="C115" s="143">
        <v>3</v>
      </c>
      <c r="D115" s="143" t="s">
        <v>190</v>
      </c>
      <c r="E115" s="144" t="s">
        <v>318</v>
      </c>
      <c r="F115" s="48"/>
      <c r="G115" s="129" t="s">
        <v>127</v>
      </c>
      <c r="H115" s="129"/>
      <c r="I115" s="129"/>
    </row>
    <row r="116" spans="1:9" x14ac:dyDescent="0.25">
      <c r="A116" s="120" t="s">
        <v>88</v>
      </c>
      <c r="B116" s="142" t="s">
        <v>89</v>
      </c>
      <c r="C116" s="143">
        <v>3</v>
      </c>
      <c r="D116" s="143" t="s">
        <v>163</v>
      </c>
      <c r="E116" s="144" t="s">
        <v>163</v>
      </c>
      <c r="F116" s="48"/>
      <c r="G116" s="129" t="s">
        <v>334</v>
      </c>
      <c r="H116" s="129"/>
      <c r="I116" s="129"/>
    </row>
    <row r="117" spans="1:9" x14ac:dyDescent="0.25">
      <c r="A117" s="63" t="s">
        <v>90</v>
      </c>
      <c r="B117" s="142" t="s">
        <v>91</v>
      </c>
      <c r="C117" s="143">
        <v>1</v>
      </c>
      <c r="D117" s="143"/>
      <c r="E117" s="144"/>
      <c r="F117" s="48"/>
      <c r="G117" s="129" t="s">
        <v>371</v>
      </c>
      <c r="H117" s="129"/>
      <c r="I117" s="129"/>
    </row>
    <row r="118" spans="1:9" x14ac:dyDescent="0.25">
      <c r="A118" s="63" t="s">
        <v>92</v>
      </c>
      <c r="B118" s="142" t="s">
        <v>93</v>
      </c>
      <c r="C118" s="143">
        <v>1</v>
      </c>
      <c r="D118" s="143"/>
      <c r="E118" s="144"/>
      <c r="F118" s="48"/>
      <c r="G118" s="129" t="s">
        <v>372</v>
      </c>
      <c r="H118" s="129"/>
      <c r="I118" s="129"/>
    </row>
    <row r="119" spans="1:9" x14ac:dyDescent="0.25">
      <c r="A119" s="63" t="s">
        <v>94</v>
      </c>
      <c r="B119" s="142" t="s">
        <v>95</v>
      </c>
      <c r="C119" s="143">
        <v>1</v>
      </c>
      <c r="D119" s="143"/>
      <c r="E119" s="144"/>
      <c r="F119" s="48"/>
      <c r="G119" s="129" t="s">
        <v>373</v>
      </c>
      <c r="H119" s="129"/>
      <c r="I119" s="129"/>
    </row>
  </sheetData>
  <mergeCells count="147">
    <mergeCell ref="G107:I107"/>
    <mergeCell ref="B119:E119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B114:E114"/>
    <mergeCell ref="B115:E115"/>
    <mergeCell ref="B116:E116"/>
    <mergeCell ref="B117:E117"/>
    <mergeCell ref="B118:E118"/>
    <mergeCell ref="B109:E109"/>
    <mergeCell ref="B110:E110"/>
    <mergeCell ref="B111:E111"/>
    <mergeCell ref="B112:E112"/>
    <mergeCell ref="B113:E113"/>
    <mergeCell ref="B94:E94"/>
    <mergeCell ref="B95:E95"/>
    <mergeCell ref="B107:E107"/>
    <mergeCell ref="B108:E108"/>
    <mergeCell ref="B88:E88"/>
    <mergeCell ref="B89:E89"/>
    <mergeCell ref="B90:E90"/>
    <mergeCell ref="B91:E91"/>
    <mergeCell ref="B92:E92"/>
    <mergeCell ref="B84:E84"/>
    <mergeCell ref="B85:E85"/>
    <mergeCell ref="B86:E86"/>
    <mergeCell ref="B87:E87"/>
    <mergeCell ref="G84:I84"/>
    <mergeCell ref="G85:I85"/>
    <mergeCell ref="G86:I86"/>
    <mergeCell ref="G87:I87"/>
    <mergeCell ref="B93:E93"/>
    <mergeCell ref="A1:I1"/>
    <mergeCell ref="A2:I2"/>
    <mergeCell ref="B62:E62"/>
    <mergeCell ref="B63:E63"/>
    <mergeCell ref="B64:E64"/>
    <mergeCell ref="B61:E61"/>
    <mergeCell ref="G61:I61"/>
    <mergeCell ref="G62:I62"/>
    <mergeCell ref="G63:I63"/>
    <mergeCell ref="G64:I64"/>
    <mergeCell ref="F31:F37"/>
    <mergeCell ref="B32:C32"/>
    <mergeCell ref="D32:E32"/>
    <mergeCell ref="B33:C33"/>
    <mergeCell ref="D33:E33"/>
    <mergeCell ref="B17:E17"/>
    <mergeCell ref="B19:E19"/>
    <mergeCell ref="B20:E20"/>
    <mergeCell ref="F5:F11"/>
    <mergeCell ref="B6:C6"/>
    <mergeCell ref="D6:E6"/>
    <mergeCell ref="B7:C7"/>
    <mergeCell ref="D7:E7"/>
    <mergeCell ref="B39:E39"/>
    <mergeCell ref="G39:I39"/>
    <mergeCell ref="G14:I14"/>
    <mergeCell ref="G15:I15"/>
    <mergeCell ref="G16:I16"/>
    <mergeCell ref="G17:I17"/>
    <mergeCell ref="G18:I18"/>
    <mergeCell ref="G19:I19"/>
    <mergeCell ref="B21:E21"/>
    <mergeCell ref="B22:E22"/>
    <mergeCell ref="B23:E23"/>
    <mergeCell ref="B24:E24"/>
    <mergeCell ref="B18:E18"/>
    <mergeCell ref="B14:E14"/>
    <mergeCell ref="B15:E15"/>
    <mergeCell ref="B16:E16"/>
    <mergeCell ref="G20:I20"/>
    <mergeCell ref="G21:I21"/>
    <mergeCell ref="G22:I22"/>
    <mergeCell ref="G23:I23"/>
    <mergeCell ref="G24:I24"/>
    <mergeCell ref="B40:E40"/>
    <mergeCell ref="G40:I40"/>
    <mergeCell ref="B41:E41"/>
    <mergeCell ref="G41:I41"/>
    <mergeCell ref="B42:E42"/>
    <mergeCell ref="G42:I42"/>
    <mergeCell ref="B43:E43"/>
    <mergeCell ref="G43:I43"/>
    <mergeCell ref="B44:E44"/>
    <mergeCell ref="G44:I44"/>
    <mergeCell ref="B45:E45"/>
    <mergeCell ref="G45:I45"/>
    <mergeCell ref="B46:E46"/>
    <mergeCell ref="G46:I46"/>
    <mergeCell ref="B47:E47"/>
    <mergeCell ref="G47:I47"/>
    <mergeCell ref="B48:E48"/>
    <mergeCell ref="G48:I48"/>
    <mergeCell ref="G49:I49"/>
    <mergeCell ref="F53:F59"/>
    <mergeCell ref="B56:C56"/>
    <mergeCell ref="D56:E56"/>
    <mergeCell ref="B57:C57"/>
    <mergeCell ref="D57:E57"/>
    <mergeCell ref="F76:F82"/>
    <mergeCell ref="B81:C81"/>
    <mergeCell ref="D81:E81"/>
    <mergeCell ref="B49:E49"/>
    <mergeCell ref="B65:E65"/>
    <mergeCell ref="B67:E67"/>
    <mergeCell ref="B68:E68"/>
    <mergeCell ref="B69:E69"/>
    <mergeCell ref="B70:E70"/>
    <mergeCell ref="B66:E66"/>
    <mergeCell ref="A72:I72"/>
    <mergeCell ref="A73:I73"/>
    <mergeCell ref="A74:I74"/>
    <mergeCell ref="A3:I3"/>
    <mergeCell ref="A27:I27"/>
    <mergeCell ref="A28:I28"/>
    <mergeCell ref="A29:I29"/>
    <mergeCell ref="F99:F105"/>
    <mergeCell ref="G100:H100"/>
    <mergeCell ref="G88:I88"/>
    <mergeCell ref="G89:I89"/>
    <mergeCell ref="G90:I90"/>
    <mergeCell ref="G91:I91"/>
    <mergeCell ref="G92:I92"/>
    <mergeCell ref="G93:I93"/>
    <mergeCell ref="G94:I94"/>
    <mergeCell ref="G95:I95"/>
    <mergeCell ref="G65:I65"/>
    <mergeCell ref="G66:I66"/>
    <mergeCell ref="G67:I67"/>
    <mergeCell ref="G68:I68"/>
    <mergeCell ref="G69:I69"/>
    <mergeCell ref="G70:I70"/>
    <mergeCell ref="G101:H101"/>
    <mergeCell ref="G102:H102"/>
    <mergeCell ref="G80:H80"/>
    <mergeCell ref="G81:H81"/>
  </mergeCells>
  <phoneticPr fontId="18" type="noConversion"/>
  <pageMargins left="0.39" right="0.21" top="0.74803149606299213" bottom="0.4" header="0.31496062992125984" footer="0.31496062992125984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BD86-2463-4EDF-8743-9E48E5B1EFDC}">
  <dimension ref="A1:K27"/>
  <sheetViews>
    <sheetView workbookViewId="0">
      <selection activeCell="A2" sqref="A2:XFD14"/>
    </sheetView>
  </sheetViews>
  <sheetFormatPr defaultRowHeight="14.4" x14ac:dyDescent="0.3"/>
  <cols>
    <col min="1" max="1" width="19.88671875" customWidth="1"/>
    <col min="2" max="2" width="9.109375" style="11"/>
    <col min="3" max="3" width="18.33203125" style="11" customWidth="1"/>
    <col min="4" max="4" width="15.88671875" style="11" customWidth="1"/>
    <col min="5" max="5" width="14" style="11" customWidth="1"/>
    <col min="6" max="6" width="11.88671875" style="11" customWidth="1"/>
    <col min="7" max="7" width="14.109375" style="11" customWidth="1"/>
    <col min="8" max="8" width="13.88671875" style="11" customWidth="1"/>
    <col min="9" max="9" width="15.88671875" style="11" customWidth="1"/>
    <col min="10" max="11" width="9.109375" style="11"/>
  </cols>
  <sheetData>
    <row r="1" spans="1:9" x14ac:dyDescent="0.3">
      <c r="A1" s="163" t="s">
        <v>262</v>
      </c>
      <c r="B1" s="163"/>
      <c r="C1" s="163"/>
      <c r="D1" s="163"/>
      <c r="E1" s="163"/>
      <c r="F1" s="163"/>
      <c r="G1" s="163"/>
      <c r="H1" s="163"/>
      <c r="I1" s="163"/>
    </row>
    <row r="2" spans="1:9" x14ac:dyDescent="0.3">
      <c r="A2" s="3" t="s">
        <v>98</v>
      </c>
      <c r="B2" s="26" t="s">
        <v>2</v>
      </c>
      <c r="C2" s="26" t="s">
        <v>99</v>
      </c>
      <c r="D2" s="26" t="s">
        <v>100</v>
      </c>
      <c r="E2" s="26" t="s">
        <v>101</v>
      </c>
      <c r="F2" s="27" t="s">
        <v>102</v>
      </c>
      <c r="G2" s="27" t="s">
        <v>103</v>
      </c>
      <c r="H2" s="27" t="s">
        <v>104</v>
      </c>
      <c r="I2" s="27" t="s">
        <v>105</v>
      </c>
    </row>
    <row r="3" spans="1:9" x14ac:dyDescent="0.3">
      <c r="A3" s="1" t="s">
        <v>108</v>
      </c>
      <c r="B3" s="2">
        <v>1401</v>
      </c>
      <c r="C3" s="12"/>
      <c r="D3" s="12"/>
      <c r="E3" s="12"/>
      <c r="F3" s="12"/>
      <c r="G3" s="12"/>
      <c r="H3" s="12"/>
      <c r="I3" s="12"/>
    </row>
    <row r="4" spans="1:9" x14ac:dyDescent="0.3">
      <c r="A4" s="1" t="s">
        <v>110</v>
      </c>
      <c r="B4" s="2">
        <v>1718</v>
      </c>
      <c r="C4" s="14" t="s">
        <v>263</v>
      </c>
      <c r="D4" s="14" t="s">
        <v>264</v>
      </c>
      <c r="E4" s="12"/>
      <c r="F4" s="14" t="s">
        <v>265</v>
      </c>
      <c r="G4" s="12"/>
      <c r="H4" s="12"/>
      <c r="I4" s="12"/>
    </row>
    <row r="5" spans="1:9" x14ac:dyDescent="0.3">
      <c r="A5" s="1" t="s">
        <v>266</v>
      </c>
      <c r="B5" s="2">
        <v>1824</v>
      </c>
      <c r="C5" s="12" t="s">
        <v>267</v>
      </c>
      <c r="D5" s="12" t="s">
        <v>268</v>
      </c>
      <c r="E5" s="12"/>
      <c r="F5" s="12" t="s">
        <v>269</v>
      </c>
      <c r="G5" s="12"/>
      <c r="H5" s="12"/>
      <c r="I5" s="12"/>
    </row>
    <row r="6" spans="1:9" x14ac:dyDescent="0.3">
      <c r="A6" s="1" t="s">
        <v>111</v>
      </c>
      <c r="B6" s="2">
        <v>2084</v>
      </c>
      <c r="C6" s="14" t="s">
        <v>270</v>
      </c>
      <c r="D6" s="14" t="s">
        <v>271</v>
      </c>
      <c r="E6" s="14" t="s">
        <v>272</v>
      </c>
      <c r="F6" s="14" t="s">
        <v>273</v>
      </c>
      <c r="G6" s="14" t="s">
        <v>274</v>
      </c>
      <c r="H6" s="12"/>
      <c r="I6" s="12"/>
    </row>
    <row r="7" spans="1:9" x14ac:dyDescent="0.3">
      <c r="A7" s="1" t="s">
        <v>112</v>
      </c>
      <c r="B7" s="2">
        <v>2133</v>
      </c>
      <c r="C7" s="28" t="s">
        <v>275</v>
      </c>
      <c r="D7" s="14" t="s">
        <v>276</v>
      </c>
      <c r="E7" s="28" t="s">
        <v>277</v>
      </c>
      <c r="F7" s="14" t="s">
        <v>278</v>
      </c>
      <c r="G7" s="14" t="s">
        <v>265</v>
      </c>
      <c r="H7" s="12"/>
      <c r="I7" s="12"/>
    </row>
    <row r="8" spans="1:9" x14ac:dyDescent="0.3">
      <c r="A8" s="1" t="s">
        <v>116</v>
      </c>
      <c r="B8" s="2">
        <v>3992</v>
      </c>
      <c r="C8" s="14" t="s">
        <v>279</v>
      </c>
      <c r="D8" s="14" t="s">
        <v>270</v>
      </c>
      <c r="E8" s="28" t="s">
        <v>280</v>
      </c>
      <c r="F8" s="14" t="s">
        <v>273</v>
      </c>
      <c r="G8" s="14" t="s">
        <v>273</v>
      </c>
      <c r="H8" s="12"/>
      <c r="I8" s="12"/>
    </row>
    <row r="9" spans="1:9" x14ac:dyDescent="0.3">
      <c r="A9" s="1" t="s">
        <v>117</v>
      </c>
      <c r="B9" s="2">
        <v>3994</v>
      </c>
      <c r="C9" s="14" t="s">
        <v>281</v>
      </c>
      <c r="D9" s="28" t="s">
        <v>280</v>
      </c>
      <c r="E9" s="28" t="s">
        <v>282</v>
      </c>
      <c r="F9" s="14" t="s">
        <v>283</v>
      </c>
      <c r="G9" s="14" t="s">
        <v>278</v>
      </c>
      <c r="H9" s="12"/>
      <c r="I9" s="12"/>
    </row>
    <row r="10" spans="1:9" x14ac:dyDescent="0.3">
      <c r="A10" s="1" t="s">
        <v>284</v>
      </c>
      <c r="B10" s="2">
        <v>5251</v>
      </c>
      <c r="C10" s="12" t="s">
        <v>121</v>
      </c>
      <c r="D10" s="12" t="s">
        <v>276</v>
      </c>
      <c r="E10" s="12" t="s">
        <v>285</v>
      </c>
      <c r="F10" s="12" t="s">
        <v>278</v>
      </c>
      <c r="G10" s="12"/>
      <c r="H10" s="12"/>
      <c r="I10" s="12"/>
    </row>
    <row r="11" spans="1:9" x14ac:dyDescent="0.3">
      <c r="A11" s="1" t="s">
        <v>286</v>
      </c>
      <c r="B11" s="2">
        <v>9997</v>
      </c>
      <c r="C11" s="12" t="s">
        <v>121</v>
      </c>
      <c r="D11" s="12" t="s">
        <v>287</v>
      </c>
      <c r="E11" s="12" t="s">
        <v>275</v>
      </c>
      <c r="F11" s="12" t="s">
        <v>283</v>
      </c>
      <c r="G11" s="12"/>
      <c r="H11" s="12"/>
      <c r="I11" s="12"/>
    </row>
    <row r="12" spans="1:9" x14ac:dyDescent="0.3">
      <c r="A12" s="1" t="s">
        <v>288</v>
      </c>
      <c r="B12" s="2">
        <v>9998</v>
      </c>
      <c r="C12" s="14" t="s">
        <v>289</v>
      </c>
      <c r="D12" s="14" t="s">
        <v>287</v>
      </c>
      <c r="E12" s="14" t="s">
        <v>276</v>
      </c>
      <c r="F12" s="14" t="s">
        <v>122</v>
      </c>
      <c r="G12" s="14" t="s">
        <v>283</v>
      </c>
      <c r="H12" s="14" t="s">
        <v>290</v>
      </c>
      <c r="I12" s="14" t="s">
        <v>278</v>
      </c>
    </row>
    <row r="16" spans="1:9" x14ac:dyDescent="0.3">
      <c r="A16" s="4" t="s">
        <v>291</v>
      </c>
      <c r="I16" s="11" t="s">
        <v>292</v>
      </c>
    </row>
    <row r="17" spans="1:11" x14ac:dyDescent="0.3">
      <c r="A17" s="3" t="s">
        <v>98</v>
      </c>
      <c r="B17" s="26" t="s">
        <v>2</v>
      </c>
      <c r="C17" s="26" t="s">
        <v>99</v>
      </c>
      <c r="D17" s="26" t="s">
        <v>100</v>
      </c>
      <c r="E17" s="29" t="s">
        <v>101</v>
      </c>
      <c r="F17" s="27" t="s">
        <v>102</v>
      </c>
      <c r="G17" s="27" t="s">
        <v>103</v>
      </c>
      <c r="H17" s="27" t="s">
        <v>104</v>
      </c>
      <c r="I17" s="27" t="s">
        <v>105</v>
      </c>
      <c r="J17" s="27" t="s">
        <v>106</v>
      </c>
      <c r="K17" s="27" t="s">
        <v>107</v>
      </c>
    </row>
    <row r="18" spans="1:11" s="23" customFormat="1" ht="33" customHeight="1" x14ac:dyDescent="0.3">
      <c r="A18" s="22" t="s">
        <v>108</v>
      </c>
      <c r="B18" s="24">
        <v>1401</v>
      </c>
      <c r="C18" s="8" t="s">
        <v>272</v>
      </c>
      <c r="D18" s="30"/>
      <c r="E18" s="31"/>
      <c r="F18" s="20" t="s">
        <v>293</v>
      </c>
      <c r="G18" s="20" t="s">
        <v>294</v>
      </c>
      <c r="H18" s="20" t="s">
        <v>295</v>
      </c>
      <c r="I18" s="10"/>
      <c r="J18" s="10">
        <v>7</v>
      </c>
      <c r="K18" s="10">
        <v>10</v>
      </c>
    </row>
    <row r="19" spans="1:11" s="23" customFormat="1" ht="33" customHeight="1" x14ac:dyDescent="0.3">
      <c r="A19" s="22" t="s">
        <v>110</v>
      </c>
      <c r="B19" s="24">
        <v>1718</v>
      </c>
      <c r="C19" s="14" t="s">
        <v>296</v>
      </c>
      <c r="D19" s="13" t="s">
        <v>263</v>
      </c>
      <c r="E19" s="31"/>
      <c r="F19" s="20" t="s">
        <v>297</v>
      </c>
      <c r="G19" s="20" t="s">
        <v>265</v>
      </c>
      <c r="H19" s="20" t="s">
        <v>298</v>
      </c>
      <c r="I19" s="10"/>
      <c r="J19" s="10">
        <v>9</v>
      </c>
      <c r="K19" s="10">
        <v>12</v>
      </c>
    </row>
    <row r="20" spans="1:11" s="23" customFormat="1" ht="33" customHeight="1" x14ac:dyDescent="0.3">
      <c r="A20" s="22" t="s">
        <v>266</v>
      </c>
      <c r="B20" s="24">
        <v>1824</v>
      </c>
      <c r="C20" s="10" t="s">
        <v>267</v>
      </c>
      <c r="D20" s="32" t="s">
        <v>280</v>
      </c>
      <c r="E20" s="31"/>
      <c r="F20" s="20" t="s">
        <v>269</v>
      </c>
      <c r="G20" s="20" t="s">
        <v>299</v>
      </c>
      <c r="H20" s="20" t="s">
        <v>300</v>
      </c>
      <c r="I20" s="10"/>
      <c r="J20" s="10">
        <v>9</v>
      </c>
      <c r="K20" s="10">
        <v>12</v>
      </c>
    </row>
    <row r="21" spans="1:11" s="23" customFormat="1" ht="33" customHeight="1" x14ac:dyDescent="0.3">
      <c r="A21" s="22" t="s">
        <v>111</v>
      </c>
      <c r="B21" s="24">
        <v>2084</v>
      </c>
      <c r="C21" s="14" t="s">
        <v>271</v>
      </c>
      <c r="D21" s="13" t="s">
        <v>264</v>
      </c>
      <c r="E21" s="33"/>
      <c r="F21" s="20" t="s">
        <v>301</v>
      </c>
      <c r="G21" s="20" t="s">
        <v>302</v>
      </c>
      <c r="H21" s="20" t="s">
        <v>303</v>
      </c>
      <c r="I21" s="10"/>
      <c r="J21" s="10">
        <v>11</v>
      </c>
      <c r="K21" s="10">
        <v>14</v>
      </c>
    </row>
    <row r="22" spans="1:11" s="23" customFormat="1" ht="33" customHeight="1" x14ac:dyDescent="0.3">
      <c r="A22" s="22" t="s">
        <v>112</v>
      </c>
      <c r="B22" s="24">
        <v>2133</v>
      </c>
      <c r="C22" s="14" t="s">
        <v>277</v>
      </c>
      <c r="D22" s="30" t="s">
        <v>275</v>
      </c>
      <c r="E22" s="33"/>
      <c r="F22" s="20" t="s">
        <v>293</v>
      </c>
      <c r="G22" s="20" t="s">
        <v>304</v>
      </c>
      <c r="H22" s="20" t="s">
        <v>305</v>
      </c>
      <c r="I22" s="20" t="s">
        <v>297</v>
      </c>
      <c r="J22" s="10">
        <v>11</v>
      </c>
      <c r="K22" s="10">
        <v>15</v>
      </c>
    </row>
    <row r="23" spans="1:11" s="23" customFormat="1" ht="33" customHeight="1" x14ac:dyDescent="0.3">
      <c r="A23" s="22" t="s">
        <v>116</v>
      </c>
      <c r="B23" s="24">
        <v>3992</v>
      </c>
      <c r="C23" s="14" t="s">
        <v>279</v>
      </c>
      <c r="D23" s="13" t="s">
        <v>270</v>
      </c>
      <c r="E23" s="33"/>
      <c r="F23" s="20" t="s">
        <v>303</v>
      </c>
      <c r="G23" s="20" t="s">
        <v>306</v>
      </c>
      <c r="H23" s="20" t="s">
        <v>307</v>
      </c>
      <c r="I23" s="20" t="s">
        <v>308</v>
      </c>
      <c r="J23" s="10">
        <v>11</v>
      </c>
      <c r="K23" s="10">
        <v>15</v>
      </c>
    </row>
    <row r="24" spans="1:11" s="23" customFormat="1" ht="33" customHeight="1" x14ac:dyDescent="0.3">
      <c r="A24" s="22" t="s">
        <v>117</v>
      </c>
      <c r="B24" s="24">
        <v>3994</v>
      </c>
      <c r="C24" s="34" t="s">
        <v>281</v>
      </c>
      <c r="D24" s="8" t="s">
        <v>282</v>
      </c>
      <c r="E24" s="31"/>
      <c r="F24" s="20" t="s">
        <v>305</v>
      </c>
      <c r="G24" s="20" t="s">
        <v>309</v>
      </c>
      <c r="H24" s="20" t="s">
        <v>310</v>
      </c>
      <c r="I24" s="20" t="s">
        <v>265</v>
      </c>
      <c r="J24" s="10">
        <v>12</v>
      </c>
      <c r="K24" s="10">
        <v>16</v>
      </c>
    </row>
    <row r="25" spans="1:11" s="23" customFormat="1" ht="33" customHeight="1" x14ac:dyDescent="0.3">
      <c r="A25" s="22" t="s">
        <v>284</v>
      </c>
      <c r="B25" s="25">
        <v>5251</v>
      </c>
      <c r="C25" s="31" t="s">
        <v>285</v>
      </c>
      <c r="D25" s="33" t="s">
        <v>276</v>
      </c>
      <c r="E25" s="35" t="s">
        <v>311</v>
      </c>
      <c r="F25" s="20" t="s">
        <v>310</v>
      </c>
      <c r="G25" s="20" t="s">
        <v>298</v>
      </c>
      <c r="H25" s="20" t="s">
        <v>302</v>
      </c>
      <c r="I25" s="10"/>
      <c r="J25" s="10">
        <v>12</v>
      </c>
      <c r="K25" s="10">
        <v>15</v>
      </c>
    </row>
    <row r="26" spans="1:11" s="23" customFormat="1" ht="33" customHeight="1" x14ac:dyDescent="0.3">
      <c r="A26" s="22" t="s">
        <v>286</v>
      </c>
      <c r="B26" s="25">
        <v>9997</v>
      </c>
      <c r="C26" s="31" t="s">
        <v>287</v>
      </c>
      <c r="D26" s="10" t="s">
        <v>268</v>
      </c>
      <c r="E26" s="31" t="s">
        <v>125</v>
      </c>
      <c r="F26" s="20" t="s">
        <v>307</v>
      </c>
      <c r="G26" s="20" t="s">
        <v>308</v>
      </c>
      <c r="H26" s="20" t="s">
        <v>301</v>
      </c>
      <c r="I26" s="10"/>
      <c r="J26" s="10">
        <v>15</v>
      </c>
      <c r="K26" s="10">
        <v>18</v>
      </c>
    </row>
    <row r="27" spans="1:11" s="23" customFormat="1" ht="33" customHeight="1" x14ac:dyDescent="0.3">
      <c r="A27" s="22" t="s">
        <v>288</v>
      </c>
      <c r="B27" s="25">
        <v>9998</v>
      </c>
      <c r="C27" s="33" t="s">
        <v>289</v>
      </c>
      <c r="D27" s="31" t="s">
        <v>121</v>
      </c>
      <c r="E27" s="31" t="s">
        <v>312</v>
      </c>
      <c r="F27" s="20" t="s">
        <v>313</v>
      </c>
      <c r="G27" s="20" t="s">
        <v>314</v>
      </c>
      <c r="H27" s="20" t="s">
        <v>269</v>
      </c>
      <c r="I27" s="20" t="s">
        <v>315</v>
      </c>
      <c r="J27" s="10">
        <v>15</v>
      </c>
      <c r="K27" s="10">
        <v>19</v>
      </c>
    </row>
  </sheetData>
  <mergeCells count="1">
    <mergeCell ref="A1:I1"/>
  </mergeCells>
  <pageMargins left="0.38" right="0.27" top="0.74803149606299213" bottom="0.74803149606299213" header="0.31496062992125984" footer="0.31496062992125984"/>
  <pageSetup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c1d694-5c5d-4f15-aca7-24707bc43928">
      <Terms xmlns="http://schemas.microsoft.com/office/infopath/2007/PartnerControls"/>
    </lcf76f155ced4ddcb4097134ff3c332f>
    <TaxCatchAll xmlns="7cfaa0ef-d837-4d96-9fcb-97d6eefcc34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2FDB9EAA23A4F925D75816C94797F" ma:contentTypeVersion="15" ma:contentTypeDescription="Create a new document." ma:contentTypeScope="" ma:versionID="337d004cd6d31c17119805969968cde9">
  <xsd:schema xmlns:xsd="http://www.w3.org/2001/XMLSchema" xmlns:xs="http://www.w3.org/2001/XMLSchema" xmlns:p="http://schemas.microsoft.com/office/2006/metadata/properties" xmlns:ns2="1ac1d694-5c5d-4f15-aca7-24707bc43928" xmlns:ns3="7cfaa0ef-d837-4d96-9fcb-97d6eefcc343" targetNamespace="http://schemas.microsoft.com/office/2006/metadata/properties" ma:root="true" ma:fieldsID="365556ef0a262516ed1cc82a166a8150" ns2:_="" ns3:_="">
    <xsd:import namespace="1ac1d694-5c5d-4f15-aca7-24707bc43928"/>
    <xsd:import namespace="7cfaa0ef-d837-4d96-9fcb-97d6eefcc3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1d694-5c5d-4f15-aca7-24707bc43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bef1ef0-e6b9-4669-8e77-44785e63f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aa0ef-d837-4d96-9fcb-97d6eefcc3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eb411b7-abdd-4ee1-b3ac-8e031e1ff1c0}" ma:internalName="TaxCatchAll" ma:showField="CatchAllData" ma:web="7cfaa0ef-d837-4d96-9fcb-97d6eefcc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5F1EFA-3B5D-4356-B389-0FFBC4912A3E}">
  <ds:schemaRefs>
    <ds:schemaRef ds:uri="http://schemas.microsoft.com/office/2006/metadata/properties"/>
    <ds:schemaRef ds:uri="http://schemas.microsoft.com/office/infopath/2007/PartnerControls"/>
    <ds:schemaRef ds:uri="1ac1d694-5c5d-4f15-aca7-24707bc43928"/>
    <ds:schemaRef ds:uri="7cfaa0ef-d837-4d96-9fcb-97d6eefcc343"/>
  </ds:schemaRefs>
</ds:datastoreItem>
</file>

<file path=customXml/itemProps2.xml><?xml version="1.0" encoding="utf-8"?>
<ds:datastoreItem xmlns:ds="http://schemas.openxmlformats.org/officeDocument/2006/customXml" ds:itemID="{4032CBE7-3465-44C2-BFC0-22852CB9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c1d694-5c5d-4f15-aca7-24707bc43928"/>
    <ds:schemaRef ds:uri="7cfaa0ef-d837-4d96-9fcb-97d6eefcc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E384A-292B-413E-8BA4-ED8AF58FCC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Subject_List</vt:lpstr>
      <vt:lpstr>Subject_Opt</vt:lpstr>
      <vt:lpstr>Subject_List_OPTBY</vt:lpstr>
      <vt:lpstr>Course_wise</vt:lpstr>
      <vt:lpstr>Subject_Selection (2)</vt:lpstr>
      <vt:lpstr>Subject_List!Print_Titles</vt:lpstr>
      <vt:lpstr>Subject_List_OPTBY!Print_Titles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Samarjeet Borah</dc:creator>
  <cp:keywords/>
  <dc:description/>
  <cp:lastModifiedBy>MOUMITA PRAMANIK, SMIT</cp:lastModifiedBy>
  <cp:revision/>
  <cp:lastPrinted>2026-03-10T11:42:16Z</cp:lastPrinted>
  <dcterms:created xsi:type="dcterms:W3CDTF">2024-12-09T09:55:49Z</dcterms:created>
  <dcterms:modified xsi:type="dcterms:W3CDTF">2026-04-20T06:23:16Z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0x0101000FD2FDB9EAA23A4F925D75816C94797F</vt:lpwstr>
  </property>
  <property fmtid="{D5CDD505-2E9C-101B-9397-08002B2CF9AE}" pid="3" name="MediaServiceImageTags">
    <vt:lpwstr/>
  </property>
</Properties>
</file>